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حضور" sheetId="1" state="visible" r:id="rId1"/>
    <sheet name="الإجمالي" sheetId="2" state="visible" r:id="rId2"/>
    <sheet name="طريقة الاستخدام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hh:mm"/>
    <numFmt numFmtId="165" formatCode="yyyy-mm-dd"/>
    <numFmt numFmtId="166" formatCode="dd/mm/yyyy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07C4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0" customWidth="1" min="3" max="3"/>
    <col width="10" customWidth="1" min="4" max="4"/>
    <col width="12" customWidth="1" min="5" max="5"/>
    <col width="15" customWidth="1" min="6" max="6"/>
    <col width="13" customWidth="1" min="7" max="7"/>
    <col width="3" customWidth="1" min="8" max="8"/>
    <col width="13" customWidth="1" min="9" max="9"/>
    <col width="9" customWidth="1" min="10" max="10"/>
  </cols>
  <sheetData>
    <row r="1">
      <c r="A1" s="1" t="inlineStr">
        <is>
          <t>الاسم</t>
        </is>
      </c>
      <c r="B1" s="1" t="inlineStr">
        <is>
          <t>التاريخ</t>
        </is>
      </c>
      <c r="C1" s="1" t="inlineStr">
        <is>
          <t>الحضور</t>
        </is>
      </c>
      <c r="D1" s="1" t="inlineStr">
        <is>
          <t>الانصراف</t>
        </is>
      </c>
      <c r="E1" s="1" t="inlineStr">
        <is>
          <t>ساعات العمل</t>
        </is>
      </c>
      <c r="F1" s="1" t="inlineStr">
        <is>
          <t>التأخير (دقيقة)</t>
        </is>
      </c>
      <c r="G1" s="1" t="inlineStr">
        <is>
          <t>إضافي (ساعة)</t>
        </is>
      </c>
      <c r="I1" s="2" t="inlineStr">
        <is>
          <t>بداية الدوام</t>
        </is>
      </c>
      <c r="J1" s="3" t="n">
        <v>0.375</v>
      </c>
    </row>
    <row r="2">
      <c r="A2" t="inlineStr">
        <is>
          <t>أحمد سالم</t>
        </is>
      </c>
      <c r="B2" s="4" t="n">
        <v>46325</v>
      </c>
      <c r="C2" s="3" t="n">
        <v>0.3715277777777778</v>
      </c>
      <c r="D2" s="3" t="n">
        <v>0.7291666666666666</v>
      </c>
      <c r="E2">
        <f>IF(OR(C2="",D2=""),"",ROUND(MOD(D2-C2,1)*24,2))</f>
        <v/>
      </c>
      <c r="F2">
        <f>IF(C2="","",MAX(0,ROUND((C2-$J$1)*1440,0)))</f>
        <v/>
      </c>
      <c r="G2">
        <f>IF(E2="","",MAX(0,ROUND(E2-$J$2,2)))</f>
        <v/>
      </c>
      <c r="I2" s="2" t="inlineStr">
        <is>
          <t>ساعات اليوم</t>
        </is>
      </c>
      <c r="J2" t="n">
        <v>8</v>
      </c>
    </row>
    <row r="3">
      <c r="A3" t="inlineStr">
        <is>
          <t>منى عادل</t>
        </is>
      </c>
      <c r="B3" s="4" t="n">
        <v>46325</v>
      </c>
      <c r="C3" s="3" t="n">
        <v>0.3888888888888889</v>
      </c>
      <c r="D3" s="3" t="n">
        <v>0.7118055555555556</v>
      </c>
      <c r="E3">
        <f>IF(OR(C3="",D3=""),"",ROUND(MOD(D3-C3,1)*24,2))</f>
        <v/>
      </c>
      <c r="F3">
        <f>IF(C3="","",MAX(0,ROUND((C3-$J$1)*1440,0)))</f>
        <v/>
      </c>
      <c r="G3">
        <f>IF(E3="","",MAX(0,ROUND(E3-$J$2,2)))</f>
        <v/>
      </c>
    </row>
    <row r="4">
      <c r="A4" t="inlineStr">
        <is>
          <t>خالد حسن</t>
        </is>
      </c>
      <c r="B4" s="4" t="n">
        <v>46325</v>
      </c>
      <c r="C4" s="3" t="n">
        <v>0.375</v>
      </c>
      <c r="D4" s="3" t="n">
        <v>0.8020833333333334</v>
      </c>
      <c r="E4">
        <f>IF(OR(C4="",D4=""),"",ROUND(MOD(D4-C4,1)*24,2))</f>
        <v/>
      </c>
      <c r="F4">
        <f>IF(C4="","",MAX(0,ROUND((C4-$J$1)*1440,0)))</f>
        <v/>
      </c>
      <c r="G4">
        <f>IF(E4="","",MAX(0,ROUND(E4-$J$2,2)))</f>
        <v/>
      </c>
    </row>
    <row r="5">
      <c r="A5" t="inlineStr">
        <is>
          <t>سارة علي</t>
        </is>
      </c>
      <c r="B5" s="4" t="n">
        <v>46325</v>
      </c>
      <c r="C5" s="3" t="n">
        <v>0.40625</v>
      </c>
      <c r="D5" s="3" t="n">
        <v>0.7083333333333334</v>
      </c>
      <c r="E5">
        <f>IF(OR(C5="",D5=""),"",ROUND(MOD(D5-C5,1)*24,2))</f>
        <v/>
      </c>
      <c r="F5">
        <f>IF(C5="","",MAX(0,ROUND((C5-$J$1)*1440,0)))</f>
        <v/>
      </c>
      <c r="G5">
        <f>IF(E5="","",MAX(0,ROUND(E5-$J$2,2)))</f>
        <v/>
      </c>
    </row>
    <row r="6">
      <c r="A6" t="inlineStr">
        <is>
          <t>أحمد سالم</t>
        </is>
      </c>
      <c r="B6" s="4" t="n">
        <v>46324</v>
      </c>
      <c r="C6" s="3" t="n">
        <v>0.3784722222222222</v>
      </c>
      <c r="D6" s="3" t="n">
        <v>0.75</v>
      </c>
      <c r="E6">
        <f>IF(OR(C6="",D6=""),"",ROUND(MOD(D6-C6,1)*24,2))</f>
        <v/>
      </c>
      <c r="F6">
        <f>IF(C6="","",MAX(0,ROUND((C6-$J$1)*1440,0)))</f>
        <v/>
      </c>
      <c r="G6">
        <f>IF(E6="","",MAX(0,ROUND(E6-$J$2,2)))</f>
        <v/>
      </c>
    </row>
    <row r="7">
      <c r="A7" t="inlineStr">
        <is>
          <t>منى عادل</t>
        </is>
      </c>
      <c r="B7" s="4" t="n">
        <v>46324</v>
      </c>
      <c r="C7" s="3" t="n">
        <v>0.3680555555555556</v>
      </c>
      <c r="D7" s="3" t="n">
        <v>0.7083333333333334</v>
      </c>
      <c r="E7">
        <f>IF(OR(C7="",D7=""),"",ROUND(MOD(D7-C7,1)*24,2))</f>
        <v/>
      </c>
      <c r="F7">
        <f>IF(C7="","",MAX(0,ROUND((C7-$J$1)*1440,0)))</f>
        <v/>
      </c>
      <c r="G7">
        <f>IF(E7="","",MAX(0,ROUND(E7-$J$2,2)))</f>
        <v/>
      </c>
    </row>
    <row r="8">
      <c r="B8" s="4" t="n"/>
      <c r="C8" s="3" t="n"/>
      <c r="D8" s="3" t="n"/>
      <c r="E8">
        <f>IF(OR(C8="",D8=""),"",ROUND(MOD(D8-C8,1)*24,2))</f>
        <v/>
      </c>
      <c r="F8">
        <f>IF(C8="","",MAX(0,ROUND((C8-$J$1)*1440,0)))</f>
        <v/>
      </c>
      <c r="G8">
        <f>IF(E8="","",MAX(0,ROUND(E8-$J$2,2)))</f>
        <v/>
      </c>
    </row>
    <row r="9">
      <c r="B9" s="4" t="n"/>
      <c r="C9" s="3" t="n"/>
      <c r="D9" s="3" t="n"/>
      <c r="E9">
        <f>IF(OR(C9="",D9=""),"",ROUND(MOD(D9-C9,1)*24,2))</f>
        <v/>
      </c>
      <c r="F9">
        <f>IF(C9="","",MAX(0,ROUND((C9-$J$1)*1440,0)))</f>
        <v/>
      </c>
      <c r="G9">
        <f>IF(E9="","",MAX(0,ROUND(E9-$J$2,2)))</f>
        <v/>
      </c>
    </row>
    <row r="10">
      <c r="B10" s="4" t="n"/>
      <c r="C10" s="3" t="n"/>
      <c r="D10" s="3" t="n"/>
      <c r="E10">
        <f>IF(OR(C10="",D10=""),"",ROUND(MOD(D10-C10,1)*24,2))</f>
        <v/>
      </c>
      <c r="F10">
        <f>IF(C10="","",MAX(0,ROUND((C10-$J$1)*1440,0)))</f>
        <v/>
      </c>
      <c r="G10">
        <f>IF(E10="","",MAX(0,ROUND(E10-$J$2,2)))</f>
        <v/>
      </c>
    </row>
    <row r="11">
      <c r="B11" s="4" t="n"/>
      <c r="C11" s="3" t="n"/>
      <c r="D11" s="3" t="n"/>
      <c r="E11">
        <f>IF(OR(C11="",D11=""),"",ROUND(MOD(D11-C11,1)*24,2))</f>
        <v/>
      </c>
      <c r="F11">
        <f>IF(C11="","",MAX(0,ROUND((C11-$J$1)*1440,0)))</f>
        <v/>
      </c>
      <c r="G11">
        <f>IF(E11="","",MAX(0,ROUND(E11-$J$2,2)))</f>
        <v/>
      </c>
    </row>
    <row r="12">
      <c r="B12" s="4" t="n"/>
      <c r="C12" s="3" t="n"/>
      <c r="D12" s="3" t="n"/>
      <c r="E12">
        <f>IF(OR(C12="",D12=""),"",ROUND(MOD(D12-C12,1)*24,2))</f>
        <v/>
      </c>
      <c r="F12">
        <f>IF(C12="","",MAX(0,ROUND((C12-$J$1)*1440,0)))</f>
        <v/>
      </c>
      <c r="G12">
        <f>IF(E12="","",MAX(0,ROUND(E12-$J$2,2)))</f>
        <v/>
      </c>
    </row>
    <row r="13">
      <c r="B13" s="4" t="n"/>
      <c r="C13" s="3" t="n"/>
      <c r="D13" s="3" t="n"/>
      <c r="E13">
        <f>IF(OR(C13="",D13=""),"",ROUND(MOD(D13-C13,1)*24,2))</f>
        <v/>
      </c>
      <c r="F13">
        <f>IF(C13="","",MAX(0,ROUND((C13-$J$1)*1440,0)))</f>
        <v/>
      </c>
      <c r="G13">
        <f>IF(E13="","",MAX(0,ROUND(E13-$J$2,2)))</f>
        <v/>
      </c>
    </row>
    <row r="14">
      <c r="B14" s="4" t="n"/>
      <c r="C14" s="3" t="n"/>
      <c r="D14" s="3" t="n"/>
      <c r="E14">
        <f>IF(OR(C14="",D14=""),"",ROUND(MOD(D14-C14,1)*24,2))</f>
        <v/>
      </c>
      <c r="F14">
        <f>IF(C14="","",MAX(0,ROUND((C14-$J$1)*1440,0)))</f>
        <v/>
      </c>
      <c r="G14">
        <f>IF(E14="","",MAX(0,ROUND(E14-$J$2,2)))</f>
        <v/>
      </c>
    </row>
    <row r="15">
      <c r="B15" s="4" t="n"/>
      <c r="C15" s="3" t="n"/>
      <c r="D15" s="3" t="n"/>
      <c r="E15">
        <f>IF(OR(C15="",D15=""),"",ROUND(MOD(D15-C15,1)*24,2))</f>
        <v/>
      </c>
      <c r="F15">
        <f>IF(C15="","",MAX(0,ROUND((C15-$J$1)*1440,0)))</f>
        <v/>
      </c>
      <c r="G15">
        <f>IF(E15="","",MAX(0,ROUND(E15-$J$2,2)))</f>
        <v/>
      </c>
    </row>
    <row r="16">
      <c r="B16" s="4" t="n"/>
      <c r="C16" s="3" t="n"/>
      <c r="D16" s="3" t="n"/>
      <c r="E16">
        <f>IF(OR(C16="",D16=""),"",ROUND(MOD(D16-C16,1)*24,2))</f>
        <v/>
      </c>
      <c r="F16">
        <f>IF(C16="","",MAX(0,ROUND((C16-$J$1)*1440,0)))</f>
        <v/>
      </c>
      <c r="G16">
        <f>IF(E16="","",MAX(0,ROUND(E16-$J$2,2)))</f>
        <v/>
      </c>
    </row>
    <row r="17">
      <c r="B17" s="4" t="n"/>
      <c r="C17" s="3" t="n"/>
      <c r="D17" s="3" t="n"/>
      <c r="E17">
        <f>IF(OR(C17="",D17=""),"",ROUND(MOD(D17-C17,1)*24,2))</f>
        <v/>
      </c>
      <c r="F17">
        <f>IF(C17="","",MAX(0,ROUND((C17-$J$1)*1440,0)))</f>
        <v/>
      </c>
      <c r="G17">
        <f>IF(E17="","",MAX(0,ROUND(E17-$J$2,2)))</f>
        <v/>
      </c>
    </row>
    <row r="18">
      <c r="B18" s="4" t="n"/>
      <c r="C18" s="3" t="n"/>
      <c r="D18" s="3" t="n"/>
      <c r="E18">
        <f>IF(OR(C18="",D18=""),"",ROUND(MOD(D18-C18,1)*24,2))</f>
        <v/>
      </c>
      <c r="F18">
        <f>IF(C18="","",MAX(0,ROUND((C18-$J$1)*1440,0)))</f>
        <v/>
      </c>
      <c r="G18">
        <f>IF(E18="","",MAX(0,ROUND(E18-$J$2,2)))</f>
        <v/>
      </c>
    </row>
    <row r="19">
      <c r="B19" s="4" t="n"/>
      <c r="C19" s="3" t="n"/>
      <c r="D19" s="3" t="n"/>
      <c r="E19">
        <f>IF(OR(C19="",D19=""),"",ROUND(MOD(D19-C19,1)*24,2))</f>
        <v/>
      </c>
      <c r="F19">
        <f>IF(C19="","",MAX(0,ROUND((C19-$J$1)*1440,0)))</f>
        <v/>
      </c>
      <c r="G19">
        <f>IF(E19="","",MAX(0,ROUND(E19-$J$2,2)))</f>
        <v/>
      </c>
    </row>
    <row r="20">
      <c r="B20" s="4" t="n"/>
      <c r="C20" s="3" t="n"/>
      <c r="D20" s="3" t="n"/>
      <c r="E20">
        <f>IF(OR(C20="",D20=""),"",ROUND(MOD(D20-C20,1)*24,2))</f>
        <v/>
      </c>
      <c r="F20">
        <f>IF(C20="","",MAX(0,ROUND((C20-$J$1)*1440,0)))</f>
        <v/>
      </c>
      <c r="G20">
        <f>IF(E20="","",MAX(0,ROUND(E20-$J$2,2)))</f>
        <v/>
      </c>
    </row>
    <row r="21">
      <c r="B21" s="4" t="n"/>
      <c r="C21" s="3" t="n"/>
      <c r="D21" s="3" t="n"/>
      <c r="E21">
        <f>IF(OR(C21="",D21=""),"",ROUND(MOD(D21-C21,1)*24,2))</f>
        <v/>
      </c>
      <c r="F21">
        <f>IF(C21="","",MAX(0,ROUND((C21-$J$1)*1440,0)))</f>
        <v/>
      </c>
      <c r="G21">
        <f>IF(E21="","",MAX(0,ROUND(E21-$J$2,2)))</f>
        <v/>
      </c>
    </row>
    <row r="22">
      <c r="B22" s="4" t="n"/>
      <c r="C22" s="3" t="n"/>
      <c r="D22" s="3" t="n"/>
      <c r="E22">
        <f>IF(OR(C22="",D22=""),"",ROUND(MOD(D22-C22,1)*24,2))</f>
        <v/>
      </c>
      <c r="F22">
        <f>IF(C22="","",MAX(0,ROUND((C22-$J$1)*1440,0)))</f>
        <v/>
      </c>
      <c r="G22">
        <f>IF(E22="","",MAX(0,ROUND(E22-$J$2,2)))</f>
        <v/>
      </c>
    </row>
    <row r="23">
      <c r="B23" s="4" t="n"/>
      <c r="C23" s="3" t="n"/>
      <c r="D23" s="3" t="n"/>
      <c r="E23">
        <f>IF(OR(C23="",D23=""),"",ROUND(MOD(D23-C23,1)*24,2))</f>
        <v/>
      </c>
      <c r="F23">
        <f>IF(C23="","",MAX(0,ROUND((C23-$J$1)*1440,0)))</f>
        <v/>
      </c>
      <c r="G23">
        <f>IF(E23="","",MAX(0,ROUND(E23-$J$2,2)))</f>
        <v/>
      </c>
    </row>
    <row r="24">
      <c r="B24" s="4" t="n"/>
      <c r="C24" s="3" t="n"/>
      <c r="D24" s="3" t="n"/>
      <c r="E24">
        <f>IF(OR(C24="",D24=""),"",ROUND(MOD(D24-C24,1)*24,2))</f>
        <v/>
      </c>
      <c r="F24">
        <f>IF(C24="","",MAX(0,ROUND((C24-$J$1)*1440,0)))</f>
        <v/>
      </c>
      <c r="G24">
        <f>IF(E24="","",MAX(0,ROUND(E24-$J$2,2)))</f>
        <v/>
      </c>
    </row>
    <row r="25">
      <c r="B25" s="4" t="n"/>
      <c r="C25" s="3" t="n"/>
      <c r="D25" s="3" t="n"/>
      <c r="E25">
        <f>IF(OR(C25="",D25=""),"",ROUND(MOD(D25-C25,1)*24,2))</f>
        <v/>
      </c>
      <c r="F25">
        <f>IF(C25="","",MAX(0,ROUND((C25-$J$1)*1440,0)))</f>
        <v/>
      </c>
      <c r="G25">
        <f>IF(E25="","",MAX(0,ROUND(E25-$J$2,2)))</f>
        <v/>
      </c>
    </row>
    <row r="26">
      <c r="B26" s="4" t="n"/>
      <c r="C26" s="3" t="n"/>
      <c r="D26" s="3" t="n"/>
      <c r="E26">
        <f>IF(OR(C26="",D26=""),"",ROUND(MOD(D26-C26,1)*24,2))</f>
        <v/>
      </c>
      <c r="F26">
        <f>IF(C26="","",MAX(0,ROUND((C26-$J$1)*1440,0)))</f>
        <v/>
      </c>
      <c r="G26">
        <f>IF(E26="","",MAX(0,ROUND(E26-$J$2,2)))</f>
        <v/>
      </c>
    </row>
    <row r="27">
      <c r="B27" s="4" t="n"/>
      <c r="C27" s="3" t="n"/>
      <c r="D27" s="3" t="n"/>
      <c r="E27">
        <f>IF(OR(C27="",D27=""),"",ROUND(MOD(D27-C27,1)*24,2))</f>
        <v/>
      </c>
      <c r="F27">
        <f>IF(C27="","",MAX(0,ROUND((C27-$J$1)*1440,0)))</f>
        <v/>
      </c>
      <c r="G27">
        <f>IF(E27="","",MAX(0,ROUND(E27-$J$2,2)))</f>
        <v/>
      </c>
    </row>
    <row r="28">
      <c r="B28" s="4" t="n"/>
      <c r="C28" s="3" t="n"/>
      <c r="D28" s="3" t="n"/>
      <c r="E28">
        <f>IF(OR(C28="",D28=""),"",ROUND(MOD(D28-C28,1)*24,2))</f>
        <v/>
      </c>
      <c r="F28">
        <f>IF(C28="","",MAX(0,ROUND((C28-$J$1)*1440,0)))</f>
        <v/>
      </c>
      <c r="G28">
        <f>IF(E28="","",MAX(0,ROUND(E28-$J$2,2)))</f>
        <v/>
      </c>
    </row>
    <row r="29">
      <c r="B29" s="4" t="n"/>
      <c r="C29" s="3" t="n"/>
      <c r="D29" s="3" t="n"/>
      <c r="E29">
        <f>IF(OR(C29="",D29=""),"",ROUND(MOD(D29-C29,1)*24,2))</f>
        <v/>
      </c>
      <c r="F29">
        <f>IF(C29="","",MAX(0,ROUND((C29-$J$1)*1440,0)))</f>
        <v/>
      </c>
      <c r="G29">
        <f>IF(E29="","",MAX(0,ROUND(E29-$J$2,2)))</f>
        <v/>
      </c>
    </row>
    <row r="30">
      <c r="B30" s="4" t="n"/>
      <c r="C30" s="3" t="n"/>
      <c r="D30" s="3" t="n"/>
      <c r="E30">
        <f>IF(OR(C30="",D30=""),"",ROUND(MOD(D30-C30,1)*24,2))</f>
        <v/>
      </c>
      <c r="F30">
        <f>IF(C30="","",MAX(0,ROUND((C30-$J$1)*1440,0)))</f>
        <v/>
      </c>
      <c r="G30">
        <f>IF(E30="","",MAX(0,ROUND(E30-$J$2,2)))</f>
        <v/>
      </c>
    </row>
    <row r="31">
      <c r="B31" s="4" t="n"/>
      <c r="C31" s="3" t="n"/>
      <c r="D31" s="3" t="n"/>
      <c r="E31">
        <f>IF(OR(C31="",D31=""),"",ROUND(MOD(D31-C31,1)*24,2))</f>
        <v/>
      </c>
      <c r="F31">
        <f>IF(C31="","",MAX(0,ROUND((C31-$J$1)*1440,0)))</f>
        <v/>
      </c>
      <c r="G31">
        <f>IF(E31="","",MAX(0,ROUND(E31-$J$2,2)))</f>
        <v/>
      </c>
    </row>
    <row r="32">
      <c r="B32" s="4" t="n"/>
      <c r="C32" s="3" t="n"/>
      <c r="D32" s="3" t="n"/>
      <c r="E32">
        <f>IF(OR(C32="",D32=""),"",ROUND(MOD(D32-C32,1)*24,2))</f>
        <v/>
      </c>
      <c r="F32">
        <f>IF(C32="","",MAX(0,ROUND((C32-$J$1)*1440,0)))</f>
        <v/>
      </c>
      <c r="G32">
        <f>IF(E32="","",MAX(0,ROUND(E32-$J$2,2)))</f>
        <v/>
      </c>
    </row>
    <row r="33">
      <c r="B33" s="4" t="n"/>
      <c r="C33" s="3" t="n"/>
      <c r="D33" s="3" t="n"/>
      <c r="E33">
        <f>IF(OR(C33="",D33=""),"",ROUND(MOD(D33-C33,1)*24,2))</f>
        <v/>
      </c>
      <c r="F33">
        <f>IF(C33="","",MAX(0,ROUND((C33-$J$1)*1440,0)))</f>
        <v/>
      </c>
      <c r="G33">
        <f>IF(E33="","",MAX(0,ROUND(E33-$J$2,2)))</f>
        <v/>
      </c>
    </row>
    <row r="34">
      <c r="B34" s="4" t="n"/>
      <c r="C34" s="3" t="n"/>
      <c r="D34" s="3" t="n"/>
      <c r="E34">
        <f>IF(OR(C34="",D34=""),"",ROUND(MOD(D34-C34,1)*24,2))</f>
        <v/>
      </c>
      <c r="F34">
        <f>IF(C34="","",MAX(0,ROUND((C34-$J$1)*1440,0)))</f>
        <v/>
      </c>
      <c r="G34">
        <f>IF(E34="","",MAX(0,ROUND(E34-$J$2,2)))</f>
        <v/>
      </c>
    </row>
    <row r="35">
      <c r="B35" s="4" t="n"/>
      <c r="C35" s="3" t="n"/>
      <c r="D35" s="3" t="n"/>
      <c r="E35">
        <f>IF(OR(C35="",D35=""),"",ROUND(MOD(D35-C35,1)*24,2))</f>
        <v/>
      </c>
      <c r="F35">
        <f>IF(C35="","",MAX(0,ROUND((C35-$J$1)*1440,0)))</f>
        <v/>
      </c>
      <c r="G35">
        <f>IF(E35="","",MAX(0,ROUND(E35-$J$2,2)))</f>
        <v/>
      </c>
    </row>
    <row r="36">
      <c r="B36" s="4" t="n"/>
      <c r="C36" s="3" t="n"/>
      <c r="D36" s="3" t="n"/>
      <c r="E36">
        <f>IF(OR(C36="",D36=""),"",ROUND(MOD(D36-C36,1)*24,2))</f>
        <v/>
      </c>
      <c r="F36">
        <f>IF(C36="","",MAX(0,ROUND((C36-$J$1)*1440,0)))</f>
        <v/>
      </c>
      <c r="G36">
        <f>IF(E36="","",MAX(0,ROUND(E36-$J$2,2)))</f>
        <v/>
      </c>
    </row>
    <row r="37">
      <c r="B37" s="4" t="n"/>
      <c r="C37" s="3" t="n"/>
      <c r="D37" s="3" t="n"/>
      <c r="E37">
        <f>IF(OR(C37="",D37=""),"",ROUND(MOD(D37-C37,1)*24,2))</f>
        <v/>
      </c>
      <c r="F37">
        <f>IF(C37="","",MAX(0,ROUND((C37-$J$1)*1440,0)))</f>
        <v/>
      </c>
      <c r="G37">
        <f>IF(E37="","",MAX(0,ROUND(E37-$J$2,2)))</f>
        <v/>
      </c>
    </row>
    <row r="38">
      <c r="B38" s="4" t="n"/>
      <c r="C38" s="3" t="n"/>
      <c r="D38" s="3" t="n"/>
      <c r="E38">
        <f>IF(OR(C38="",D38=""),"",ROUND(MOD(D38-C38,1)*24,2))</f>
        <v/>
      </c>
      <c r="F38">
        <f>IF(C38="","",MAX(0,ROUND((C38-$J$1)*1440,0)))</f>
        <v/>
      </c>
      <c r="G38">
        <f>IF(E38="","",MAX(0,ROUND(E38-$J$2,2)))</f>
        <v/>
      </c>
    </row>
    <row r="39">
      <c r="B39" s="4" t="n"/>
      <c r="C39" s="3" t="n"/>
      <c r="D39" s="3" t="n"/>
      <c r="E39">
        <f>IF(OR(C39="",D39=""),"",ROUND(MOD(D39-C39,1)*24,2))</f>
        <v/>
      </c>
      <c r="F39">
        <f>IF(C39="","",MAX(0,ROUND((C39-$J$1)*1440,0)))</f>
        <v/>
      </c>
      <c r="G39">
        <f>IF(E39="","",MAX(0,ROUND(E39-$J$2,2)))</f>
        <v/>
      </c>
    </row>
    <row r="40">
      <c r="B40" s="4" t="n"/>
      <c r="C40" s="3" t="n"/>
      <c r="D40" s="3" t="n"/>
      <c r="E40">
        <f>IF(OR(C40="",D40=""),"",ROUND(MOD(D40-C40,1)*24,2))</f>
        <v/>
      </c>
      <c r="F40">
        <f>IF(C40="","",MAX(0,ROUND((C40-$J$1)*1440,0)))</f>
        <v/>
      </c>
      <c r="G40">
        <f>IF(E40="","",MAX(0,ROUND(E40-$J$2,2)))</f>
        <v/>
      </c>
    </row>
    <row r="41">
      <c r="B41" s="4" t="n"/>
      <c r="C41" s="3" t="n"/>
      <c r="D41" s="3" t="n"/>
      <c r="E41">
        <f>IF(OR(C41="",D41=""),"",ROUND(MOD(D41-C41,1)*24,2))</f>
        <v/>
      </c>
      <c r="F41">
        <f>IF(C41="","",MAX(0,ROUND((C41-$J$1)*1440,0)))</f>
        <v/>
      </c>
      <c r="G41">
        <f>IF(E41="","",MAX(0,ROUND(E41-$J$2,2)))</f>
        <v/>
      </c>
    </row>
    <row r="42">
      <c r="B42" s="4" t="n"/>
      <c r="C42" s="3" t="n"/>
      <c r="D42" s="3" t="n"/>
      <c r="E42">
        <f>IF(OR(C42="",D42=""),"",ROUND(MOD(D42-C42,1)*24,2))</f>
        <v/>
      </c>
      <c r="F42">
        <f>IF(C42="","",MAX(0,ROUND((C42-$J$1)*1440,0)))</f>
        <v/>
      </c>
      <c r="G42">
        <f>IF(E42="","",MAX(0,ROUND(E42-$J$2,2)))</f>
        <v/>
      </c>
    </row>
    <row r="43">
      <c r="B43" s="4" t="n"/>
      <c r="C43" s="3" t="n"/>
      <c r="D43" s="3" t="n"/>
      <c r="E43">
        <f>IF(OR(C43="",D43=""),"",ROUND(MOD(D43-C43,1)*24,2))</f>
        <v/>
      </c>
      <c r="F43">
        <f>IF(C43="","",MAX(0,ROUND((C43-$J$1)*1440,0)))</f>
        <v/>
      </c>
      <c r="G43">
        <f>IF(E43="","",MAX(0,ROUND(E43-$J$2,2)))</f>
        <v/>
      </c>
    </row>
    <row r="44">
      <c r="B44" s="4" t="n"/>
      <c r="C44" s="3" t="n"/>
      <c r="D44" s="3" t="n"/>
      <c r="E44">
        <f>IF(OR(C44="",D44=""),"",ROUND(MOD(D44-C44,1)*24,2))</f>
        <v/>
      </c>
      <c r="F44">
        <f>IF(C44="","",MAX(0,ROUND((C44-$J$1)*1440,0)))</f>
        <v/>
      </c>
      <c r="G44">
        <f>IF(E44="","",MAX(0,ROUND(E44-$J$2,2)))</f>
        <v/>
      </c>
    </row>
    <row r="45">
      <c r="B45" s="4" t="n"/>
      <c r="C45" s="3" t="n"/>
      <c r="D45" s="3" t="n"/>
      <c r="E45">
        <f>IF(OR(C45="",D45=""),"",ROUND(MOD(D45-C45,1)*24,2))</f>
        <v/>
      </c>
      <c r="F45">
        <f>IF(C45="","",MAX(0,ROUND((C45-$J$1)*1440,0)))</f>
        <v/>
      </c>
      <c r="G45">
        <f>IF(E45="","",MAX(0,ROUND(E45-$J$2,2)))</f>
        <v/>
      </c>
    </row>
    <row r="46">
      <c r="B46" s="4" t="n"/>
      <c r="C46" s="3" t="n"/>
      <c r="D46" s="3" t="n"/>
      <c r="E46">
        <f>IF(OR(C46="",D46=""),"",ROUND(MOD(D46-C46,1)*24,2))</f>
        <v/>
      </c>
      <c r="F46">
        <f>IF(C46="","",MAX(0,ROUND((C46-$J$1)*1440,0)))</f>
        <v/>
      </c>
      <c r="G46">
        <f>IF(E46="","",MAX(0,ROUND(E46-$J$2,2)))</f>
        <v/>
      </c>
    </row>
    <row r="47">
      <c r="B47" s="4" t="n"/>
      <c r="C47" s="3" t="n"/>
      <c r="D47" s="3" t="n"/>
      <c r="E47">
        <f>IF(OR(C47="",D47=""),"",ROUND(MOD(D47-C47,1)*24,2))</f>
        <v/>
      </c>
      <c r="F47">
        <f>IF(C47="","",MAX(0,ROUND((C47-$J$1)*1440,0)))</f>
        <v/>
      </c>
      <c r="G47">
        <f>IF(E47="","",MAX(0,ROUND(E47-$J$2,2)))</f>
        <v/>
      </c>
    </row>
    <row r="48">
      <c r="B48" s="4" t="n"/>
      <c r="C48" s="3" t="n"/>
      <c r="D48" s="3" t="n"/>
      <c r="E48">
        <f>IF(OR(C48="",D48=""),"",ROUND(MOD(D48-C48,1)*24,2))</f>
        <v/>
      </c>
      <c r="F48">
        <f>IF(C48="","",MAX(0,ROUND((C48-$J$1)*1440,0)))</f>
        <v/>
      </c>
      <c r="G48">
        <f>IF(E48="","",MAX(0,ROUND(E48-$J$2,2)))</f>
        <v/>
      </c>
    </row>
    <row r="49">
      <c r="B49" s="4" t="n"/>
      <c r="C49" s="3" t="n"/>
      <c r="D49" s="3" t="n"/>
      <c r="E49">
        <f>IF(OR(C49="",D49=""),"",ROUND(MOD(D49-C49,1)*24,2))</f>
        <v/>
      </c>
      <c r="F49">
        <f>IF(C49="","",MAX(0,ROUND((C49-$J$1)*1440,0)))</f>
        <v/>
      </c>
      <c r="G49">
        <f>IF(E49="","",MAX(0,ROUND(E49-$J$2,2)))</f>
        <v/>
      </c>
    </row>
    <row r="50">
      <c r="B50" s="4" t="n"/>
      <c r="C50" s="3" t="n"/>
      <c r="D50" s="3" t="n"/>
      <c r="E50">
        <f>IF(OR(C50="",D50=""),"",ROUND(MOD(D50-C50,1)*24,2))</f>
        <v/>
      </c>
      <c r="F50">
        <f>IF(C50="","",MAX(0,ROUND((C50-$J$1)*1440,0)))</f>
        <v/>
      </c>
      <c r="G50">
        <f>IF(E50="","",MAX(0,ROUND(E50-$J$2,2)))</f>
        <v/>
      </c>
    </row>
    <row r="51">
      <c r="B51" s="4" t="n"/>
      <c r="C51" s="3" t="n"/>
      <c r="D51" s="3" t="n"/>
      <c r="E51">
        <f>IF(OR(C51="",D51=""),"",ROUND(MOD(D51-C51,1)*24,2))</f>
        <v/>
      </c>
      <c r="F51">
        <f>IF(C51="","",MAX(0,ROUND((C51-$J$1)*1440,0)))</f>
        <v/>
      </c>
      <c r="G51">
        <f>IF(E51="","",MAX(0,ROUND(E51-$J$2,2)))</f>
        <v/>
      </c>
    </row>
    <row r="52">
      <c r="B52" s="4" t="n"/>
      <c r="C52" s="3" t="n"/>
      <c r="D52" s="3" t="n"/>
      <c r="E52">
        <f>IF(OR(C52="",D52=""),"",ROUND(MOD(D52-C52,1)*24,2))</f>
        <v/>
      </c>
      <c r="F52">
        <f>IF(C52="","",MAX(0,ROUND((C52-$J$1)*1440,0)))</f>
        <v/>
      </c>
      <c r="G52">
        <f>IF(E52="","",MAX(0,ROUND(E52-$J$2,2)))</f>
        <v/>
      </c>
    </row>
    <row r="53">
      <c r="B53" s="4" t="n"/>
      <c r="C53" s="3" t="n"/>
      <c r="D53" s="3" t="n"/>
      <c r="E53">
        <f>IF(OR(C53="",D53=""),"",ROUND(MOD(D53-C53,1)*24,2))</f>
        <v/>
      </c>
      <c r="F53">
        <f>IF(C53="","",MAX(0,ROUND((C53-$J$1)*1440,0)))</f>
        <v/>
      </c>
      <c r="G53">
        <f>IF(E53="","",MAX(0,ROUND(E53-$J$2,2)))</f>
        <v/>
      </c>
    </row>
    <row r="54">
      <c r="B54" s="4" t="n"/>
      <c r="C54" s="3" t="n"/>
      <c r="D54" s="3" t="n"/>
      <c r="E54">
        <f>IF(OR(C54="",D54=""),"",ROUND(MOD(D54-C54,1)*24,2))</f>
        <v/>
      </c>
      <c r="F54">
        <f>IF(C54="","",MAX(0,ROUND((C54-$J$1)*1440,0)))</f>
        <v/>
      </c>
      <c r="G54">
        <f>IF(E54="","",MAX(0,ROUND(E54-$J$2,2)))</f>
        <v/>
      </c>
    </row>
    <row r="55">
      <c r="B55" s="4" t="n"/>
      <c r="C55" s="3" t="n"/>
      <c r="D55" s="3" t="n"/>
      <c r="E55">
        <f>IF(OR(C55="",D55=""),"",ROUND(MOD(D55-C55,1)*24,2))</f>
        <v/>
      </c>
      <c r="F55">
        <f>IF(C55="","",MAX(0,ROUND((C55-$J$1)*1440,0)))</f>
        <v/>
      </c>
      <c r="G55">
        <f>IF(E55="","",MAX(0,ROUND(E55-$J$2,2)))</f>
        <v/>
      </c>
    </row>
    <row r="56">
      <c r="B56" s="4" t="n"/>
      <c r="C56" s="3" t="n"/>
      <c r="D56" s="3" t="n"/>
      <c r="E56">
        <f>IF(OR(C56="",D56=""),"",ROUND(MOD(D56-C56,1)*24,2))</f>
        <v/>
      </c>
      <c r="F56">
        <f>IF(C56="","",MAX(0,ROUND((C56-$J$1)*1440,0)))</f>
        <v/>
      </c>
      <c r="G56">
        <f>IF(E56="","",MAX(0,ROUND(E56-$J$2,2)))</f>
        <v/>
      </c>
    </row>
    <row r="57">
      <c r="B57" s="4" t="n"/>
      <c r="C57" s="3" t="n"/>
      <c r="D57" s="3" t="n"/>
      <c r="E57">
        <f>IF(OR(C57="",D57=""),"",ROUND(MOD(D57-C57,1)*24,2))</f>
        <v/>
      </c>
      <c r="F57">
        <f>IF(C57="","",MAX(0,ROUND((C57-$J$1)*1440,0)))</f>
        <v/>
      </c>
      <c r="G57">
        <f>IF(E57="","",MAX(0,ROUND(E57-$J$2,2)))</f>
        <v/>
      </c>
    </row>
    <row r="58">
      <c r="B58" s="4" t="n"/>
      <c r="C58" s="3" t="n"/>
      <c r="D58" s="3" t="n"/>
      <c r="E58">
        <f>IF(OR(C58="",D58=""),"",ROUND(MOD(D58-C58,1)*24,2))</f>
        <v/>
      </c>
      <c r="F58">
        <f>IF(C58="","",MAX(0,ROUND((C58-$J$1)*1440,0)))</f>
        <v/>
      </c>
      <c r="G58">
        <f>IF(E58="","",MAX(0,ROUND(E58-$J$2,2)))</f>
        <v/>
      </c>
    </row>
    <row r="59">
      <c r="B59" s="4" t="n"/>
      <c r="C59" s="3" t="n"/>
      <c r="D59" s="3" t="n"/>
      <c r="E59">
        <f>IF(OR(C59="",D59=""),"",ROUND(MOD(D59-C59,1)*24,2))</f>
        <v/>
      </c>
      <c r="F59">
        <f>IF(C59="","",MAX(0,ROUND((C59-$J$1)*1440,0)))</f>
        <v/>
      </c>
      <c r="G59">
        <f>IF(E59="","",MAX(0,ROUND(E59-$J$2,2)))</f>
        <v/>
      </c>
    </row>
    <row r="60">
      <c r="B60" s="4" t="n"/>
      <c r="C60" s="3" t="n"/>
      <c r="D60" s="3" t="n"/>
      <c r="E60">
        <f>IF(OR(C60="",D60=""),"",ROUND(MOD(D60-C60,1)*24,2))</f>
        <v/>
      </c>
      <c r="F60">
        <f>IF(C60="","",MAX(0,ROUND((C60-$J$1)*1440,0)))</f>
        <v/>
      </c>
      <c r="G60">
        <f>IF(E60="","",MAX(0,ROUND(E60-$J$2,2)))</f>
        <v/>
      </c>
    </row>
    <row r="61">
      <c r="B61" s="4" t="n"/>
      <c r="C61" s="3" t="n"/>
      <c r="D61" s="3" t="n"/>
      <c r="E61">
        <f>IF(OR(C61="",D61=""),"",ROUND(MOD(D61-C61,1)*24,2))</f>
        <v/>
      </c>
      <c r="F61">
        <f>IF(C61="","",MAX(0,ROUND((C61-$J$1)*1440,0)))</f>
        <v/>
      </c>
      <c r="G61">
        <f>IF(E61="","",MAX(0,ROUND(E61-$J$2,2)))</f>
        <v/>
      </c>
    </row>
    <row r="62">
      <c r="B62" s="4" t="n"/>
      <c r="C62" s="3" t="n"/>
      <c r="D62" s="3" t="n"/>
      <c r="E62">
        <f>IF(OR(C62="",D62=""),"",ROUND(MOD(D62-C62,1)*24,2))</f>
        <v/>
      </c>
      <c r="F62">
        <f>IF(C62="","",MAX(0,ROUND((C62-$J$1)*1440,0)))</f>
        <v/>
      </c>
      <c r="G62">
        <f>IF(E62="","",MAX(0,ROUND(E62-$J$2,2)))</f>
        <v/>
      </c>
    </row>
    <row r="63">
      <c r="B63" s="4" t="n"/>
      <c r="C63" s="3" t="n"/>
      <c r="D63" s="3" t="n"/>
      <c r="E63">
        <f>IF(OR(C63="",D63=""),"",ROUND(MOD(D63-C63,1)*24,2))</f>
        <v/>
      </c>
      <c r="F63">
        <f>IF(C63="","",MAX(0,ROUND((C63-$J$1)*1440,0)))</f>
        <v/>
      </c>
      <c r="G63">
        <f>IF(E63="","",MAX(0,ROUND(E63-$J$2,2)))</f>
        <v/>
      </c>
    </row>
    <row r="64">
      <c r="B64" s="4" t="n"/>
      <c r="C64" s="3" t="n"/>
      <c r="D64" s="3" t="n"/>
      <c r="E64">
        <f>IF(OR(C64="",D64=""),"",ROUND(MOD(D64-C64,1)*24,2))</f>
        <v/>
      </c>
      <c r="F64">
        <f>IF(C64="","",MAX(0,ROUND((C64-$J$1)*1440,0)))</f>
        <v/>
      </c>
      <c r="G64">
        <f>IF(E64="","",MAX(0,ROUND(E64-$J$2,2)))</f>
        <v/>
      </c>
    </row>
    <row r="65">
      <c r="B65" s="4" t="n"/>
      <c r="C65" s="3" t="n"/>
      <c r="D65" s="3" t="n"/>
      <c r="E65">
        <f>IF(OR(C65="",D65=""),"",ROUND(MOD(D65-C65,1)*24,2))</f>
        <v/>
      </c>
      <c r="F65">
        <f>IF(C65="","",MAX(0,ROUND((C65-$J$1)*1440,0)))</f>
        <v/>
      </c>
      <c r="G65">
        <f>IF(E65="","",MAX(0,ROUND(E65-$J$2,2)))</f>
        <v/>
      </c>
    </row>
    <row r="66">
      <c r="B66" s="4" t="n"/>
      <c r="C66" s="3" t="n"/>
      <c r="D66" s="3" t="n"/>
      <c r="E66">
        <f>IF(OR(C66="",D66=""),"",ROUND(MOD(D66-C66,1)*24,2))</f>
        <v/>
      </c>
      <c r="F66">
        <f>IF(C66="","",MAX(0,ROUND((C66-$J$1)*1440,0)))</f>
        <v/>
      </c>
      <c r="G66">
        <f>IF(E66="","",MAX(0,ROUND(E66-$J$2,2)))</f>
        <v/>
      </c>
    </row>
    <row r="67">
      <c r="B67" s="4" t="n"/>
      <c r="C67" s="3" t="n"/>
      <c r="D67" s="3" t="n"/>
      <c r="E67">
        <f>IF(OR(C67="",D67=""),"",ROUND(MOD(D67-C67,1)*24,2))</f>
        <v/>
      </c>
      <c r="F67">
        <f>IF(C67="","",MAX(0,ROUND((C67-$J$1)*1440,0)))</f>
        <v/>
      </c>
      <c r="G67">
        <f>IF(E67="","",MAX(0,ROUND(E67-$J$2,2)))</f>
        <v/>
      </c>
    </row>
    <row r="68">
      <c r="B68" s="4" t="n"/>
      <c r="C68" s="3" t="n"/>
      <c r="D68" s="3" t="n"/>
      <c r="E68">
        <f>IF(OR(C68="",D68=""),"",ROUND(MOD(D68-C68,1)*24,2))</f>
        <v/>
      </c>
      <c r="F68">
        <f>IF(C68="","",MAX(0,ROUND((C68-$J$1)*1440,0)))</f>
        <v/>
      </c>
      <c r="G68">
        <f>IF(E68="","",MAX(0,ROUND(E68-$J$2,2)))</f>
        <v/>
      </c>
    </row>
    <row r="69">
      <c r="B69" s="4" t="n"/>
      <c r="C69" s="3" t="n"/>
      <c r="D69" s="3" t="n"/>
      <c r="E69">
        <f>IF(OR(C69="",D69=""),"",ROUND(MOD(D69-C69,1)*24,2))</f>
        <v/>
      </c>
      <c r="F69">
        <f>IF(C69="","",MAX(0,ROUND((C69-$J$1)*1440,0)))</f>
        <v/>
      </c>
      <c r="G69">
        <f>IF(E69="","",MAX(0,ROUND(E69-$J$2,2)))</f>
        <v/>
      </c>
    </row>
    <row r="70">
      <c r="B70" s="4" t="n"/>
      <c r="C70" s="3" t="n"/>
      <c r="D70" s="3" t="n"/>
      <c r="E70">
        <f>IF(OR(C70="",D70=""),"",ROUND(MOD(D70-C70,1)*24,2))</f>
        <v/>
      </c>
      <c r="F70">
        <f>IF(C70="","",MAX(0,ROUND((C70-$J$1)*1440,0)))</f>
        <v/>
      </c>
      <c r="G70">
        <f>IF(E70="","",MAX(0,ROUND(E70-$J$2,2)))</f>
        <v/>
      </c>
    </row>
    <row r="71">
      <c r="B71" s="4" t="n"/>
      <c r="C71" s="3" t="n"/>
      <c r="D71" s="3" t="n"/>
      <c r="E71">
        <f>IF(OR(C71="",D71=""),"",ROUND(MOD(D71-C71,1)*24,2))</f>
        <v/>
      </c>
      <c r="F71">
        <f>IF(C71="","",MAX(0,ROUND((C71-$J$1)*1440,0)))</f>
        <v/>
      </c>
      <c r="G71">
        <f>IF(E71="","",MAX(0,ROUND(E71-$J$2,2)))</f>
        <v/>
      </c>
    </row>
    <row r="72">
      <c r="B72" s="4" t="n"/>
      <c r="C72" s="3" t="n"/>
      <c r="D72" s="3" t="n"/>
      <c r="E72">
        <f>IF(OR(C72="",D72=""),"",ROUND(MOD(D72-C72,1)*24,2))</f>
        <v/>
      </c>
      <c r="F72">
        <f>IF(C72="","",MAX(0,ROUND((C72-$J$1)*1440,0)))</f>
        <v/>
      </c>
      <c r="G72">
        <f>IF(E72="","",MAX(0,ROUND(E72-$J$2,2)))</f>
        <v/>
      </c>
    </row>
    <row r="73">
      <c r="B73" s="4" t="n"/>
      <c r="C73" s="3" t="n"/>
      <c r="D73" s="3" t="n"/>
      <c r="E73">
        <f>IF(OR(C73="",D73=""),"",ROUND(MOD(D73-C73,1)*24,2))</f>
        <v/>
      </c>
      <c r="F73">
        <f>IF(C73="","",MAX(0,ROUND((C73-$J$1)*1440,0)))</f>
        <v/>
      </c>
      <c r="G73">
        <f>IF(E73="","",MAX(0,ROUND(E73-$J$2,2)))</f>
        <v/>
      </c>
    </row>
    <row r="74">
      <c r="B74" s="4" t="n"/>
      <c r="C74" s="3" t="n"/>
      <c r="D74" s="3" t="n"/>
      <c r="E74">
        <f>IF(OR(C74="",D74=""),"",ROUND(MOD(D74-C74,1)*24,2))</f>
        <v/>
      </c>
      <c r="F74">
        <f>IF(C74="","",MAX(0,ROUND((C74-$J$1)*1440,0)))</f>
        <v/>
      </c>
      <c r="G74">
        <f>IF(E74="","",MAX(0,ROUND(E74-$J$2,2)))</f>
        <v/>
      </c>
    </row>
    <row r="75">
      <c r="B75" s="4" t="n"/>
      <c r="C75" s="3" t="n"/>
      <c r="D75" s="3" t="n"/>
      <c r="E75">
        <f>IF(OR(C75="",D75=""),"",ROUND(MOD(D75-C75,1)*24,2))</f>
        <v/>
      </c>
      <c r="F75">
        <f>IF(C75="","",MAX(0,ROUND((C75-$J$1)*1440,0)))</f>
        <v/>
      </c>
      <c r="G75">
        <f>IF(E75="","",MAX(0,ROUND(E75-$J$2,2)))</f>
        <v/>
      </c>
    </row>
    <row r="76">
      <c r="B76" s="4" t="n"/>
      <c r="C76" s="3" t="n"/>
      <c r="D76" s="3" t="n"/>
      <c r="E76">
        <f>IF(OR(C76="",D76=""),"",ROUND(MOD(D76-C76,1)*24,2))</f>
        <v/>
      </c>
      <c r="F76">
        <f>IF(C76="","",MAX(0,ROUND((C76-$J$1)*1440,0)))</f>
        <v/>
      </c>
      <c r="G76">
        <f>IF(E76="","",MAX(0,ROUND(E76-$J$2,2)))</f>
        <v/>
      </c>
    </row>
    <row r="77">
      <c r="B77" s="4" t="n"/>
      <c r="C77" s="3" t="n"/>
      <c r="D77" s="3" t="n"/>
      <c r="E77">
        <f>IF(OR(C77="",D77=""),"",ROUND(MOD(D77-C77,1)*24,2))</f>
        <v/>
      </c>
      <c r="F77">
        <f>IF(C77="","",MAX(0,ROUND((C77-$J$1)*1440,0)))</f>
        <v/>
      </c>
      <c r="G77">
        <f>IF(E77="","",MAX(0,ROUND(E77-$J$2,2)))</f>
        <v/>
      </c>
    </row>
    <row r="78">
      <c r="B78" s="4" t="n"/>
      <c r="C78" s="3" t="n"/>
      <c r="D78" s="3" t="n"/>
      <c r="E78">
        <f>IF(OR(C78="",D78=""),"",ROUND(MOD(D78-C78,1)*24,2))</f>
        <v/>
      </c>
      <c r="F78">
        <f>IF(C78="","",MAX(0,ROUND((C78-$J$1)*1440,0)))</f>
        <v/>
      </c>
      <c r="G78">
        <f>IF(E78="","",MAX(0,ROUND(E78-$J$2,2)))</f>
        <v/>
      </c>
    </row>
    <row r="79">
      <c r="B79" s="4" t="n"/>
      <c r="C79" s="3" t="n"/>
      <c r="D79" s="3" t="n"/>
      <c r="E79">
        <f>IF(OR(C79="",D79=""),"",ROUND(MOD(D79-C79,1)*24,2))</f>
        <v/>
      </c>
      <c r="F79">
        <f>IF(C79="","",MAX(0,ROUND((C79-$J$1)*1440,0)))</f>
        <v/>
      </c>
      <c r="G79">
        <f>IF(E79="","",MAX(0,ROUND(E79-$J$2,2)))</f>
        <v/>
      </c>
    </row>
    <row r="80">
      <c r="B80" s="4" t="n"/>
      <c r="C80" s="3" t="n"/>
      <c r="D80" s="3" t="n"/>
      <c r="E80">
        <f>IF(OR(C80="",D80=""),"",ROUND(MOD(D80-C80,1)*24,2))</f>
        <v/>
      </c>
      <c r="F80">
        <f>IF(C80="","",MAX(0,ROUND((C80-$J$1)*1440,0)))</f>
        <v/>
      </c>
      <c r="G80">
        <f>IF(E80="","",MAX(0,ROUND(E80-$J$2,2)))</f>
        <v/>
      </c>
    </row>
    <row r="81">
      <c r="B81" s="4" t="n"/>
      <c r="C81" s="3" t="n"/>
      <c r="D81" s="3" t="n"/>
      <c r="E81">
        <f>IF(OR(C81="",D81=""),"",ROUND(MOD(D81-C81,1)*24,2))</f>
        <v/>
      </c>
      <c r="F81">
        <f>IF(C81="","",MAX(0,ROUND((C81-$J$1)*1440,0)))</f>
        <v/>
      </c>
      <c r="G81">
        <f>IF(E81="","",MAX(0,ROUND(E81-$J$2,2)))</f>
        <v/>
      </c>
    </row>
    <row r="82">
      <c r="B82" s="4" t="n"/>
      <c r="C82" s="3" t="n"/>
      <c r="D82" s="3" t="n"/>
      <c r="E82">
        <f>IF(OR(C82="",D82=""),"",ROUND(MOD(D82-C82,1)*24,2))</f>
        <v/>
      </c>
      <c r="F82">
        <f>IF(C82="","",MAX(0,ROUND((C82-$J$1)*1440,0)))</f>
        <v/>
      </c>
      <c r="G82">
        <f>IF(E82="","",MAX(0,ROUND(E82-$J$2,2)))</f>
        <v/>
      </c>
    </row>
    <row r="83">
      <c r="B83" s="4" t="n"/>
      <c r="C83" s="3" t="n"/>
      <c r="D83" s="3" t="n"/>
      <c r="E83">
        <f>IF(OR(C83="",D83=""),"",ROUND(MOD(D83-C83,1)*24,2))</f>
        <v/>
      </c>
      <c r="F83">
        <f>IF(C83="","",MAX(0,ROUND((C83-$J$1)*1440,0)))</f>
        <v/>
      </c>
      <c r="G83">
        <f>IF(E83="","",MAX(0,ROUND(E83-$J$2,2)))</f>
        <v/>
      </c>
    </row>
    <row r="84">
      <c r="B84" s="4" t="n"/>
      <c r="C84" s="3" t="n"/>
      <c r="D84" s="3" t="n"/>
      <c r="E84">
        <f>IF(OR(C84="",D84=""),"",ROUND(MOD(D84-C84,1)*24,2))</f>
        <v/>
      </c>
      <c r="F84">
        <f>IF(C84="","",MAX(0,ROUND((C84-$J$1)*1440,0)))</f>
        <v/>
      </c>
      <c r="G84">
        <f>IF(E84="","",MAX(0,ROUND(E84-$J$2,2)))</f>
        <v/>
      </c>
    </row>
    <row r="85">
      <c r="B85" s="4" t="n"/>
      <c r="C85" s="3" t="n"/>
      <c r="D85" s="3" t="n"/>
      <c r="E85">
        <f>IF(OR(C85="",D85=""),"",ROUND(MOD(D85-C85,1)*24,2))</f>
        <v/>
      </c>
      <c r="F85">
        <f>IF(C85="","",MAX(0,ROUND((C85-$J$1)*1440,0)))</f>
        <v/>
      </c>
      <c r="G85">
        <f>IF(E85="","",MAX(0,ROUND(E85-$J$2,2)))</f>
        <v/>
      </c>
    </row>
    <row r="86">
      <c r="B86" s="4" t="n"/>
      <c r="C86" s="3" t="n"/>
      <c r="D86" s="3" t="n"/>
      <c r="E86">
        <f>IF(OR(C86="",D86=""),"",ROUND(MOD(D86-C86,1)*24,2))</f>
        <v/>
      </c>
      <c r="F86">
        <f>IF(C86="","",MAX(0,ROUND((C86-$J$1)*1440,0)))</f>
        <v/>
      </c>
      <c r="G86">
        <f>IF(E86="","",MAX(0,ROUND(E86-$J$2,2)))</f>
        <v/>
      </c>
    </row>
    <row r="87">
      <c r="B87" s="4" t="n"/>
      <c r="C87" s="3" t="n"/>
      <c r="D87" s="3" t="n"/>
      <c r="E87">
        <f>IF(OR(C87="",D87=""),"",ROUND(MOD(D87-C87,1)*24,2))</f>
        <v/>
      </c>
      <c r="F87">
        <f>IF(C87="","",MAX(0,ROUND((C87-$J$1)*1440,0)))</f>
        <v/>
      </c>
      <c r="G87">
        <f>IF(E87="","",MAX(0,ROUND(E87-$J$2,2)))</f>
        <v/>
      </c>
    </row>
    <row r="88">
      <c r="B88" s="4" t="n"/>
      <c r="C88" s="3" t="n"/>
      <c r="D88" s="3" t="n"/>
      <c r="E88">
        <f>IF(OR(C88="",D88=""),"",ROUND(MOD(D88-C88,1)*24,2))</f>
        <v/>
      </c>
      <c r="F88">
        <f>IF(C88="","",MAX(0,ROUND((C88-$J$1)*1440,0)))</f>
        <v/>
      </c>
      <c r="G88">
        <f>IF(E88="","",MAX(0,ROUND(E88-$J$2,2)))</f>
        <v/>
      </c>
    </row>
    <row r="89">
      <c r="B89" s="4" t="n"/>
      <c r="C89" s="3" t="n"/>
      <c r="D89" s="3" t="n"/>
      <c r="E89">
        <f>IF(OR(C89="",D89=""),"",ROUND(MOD(D89-C89,1)*24,2))</f>
        <v/>
      </c>
      <c r="F89">
        <f>IF(C89="","",MAX(0,ROUND((C89-$J$1)*1440,0)))</f>
        <v/>
      </c>
      <c r="G89">
        <f>IF(E89="","",MAX(0,ROUND(E89-$J$2,2)))</f>
        <v/>
      </c>
    </row>
    <row r="90">
      <c r="B90" s="4" t="n"/>
      <c r="C90" s="3" t="n"/>
      <c r="D90" s="3" t="n"/>
      <c r="E90">
        <f>IF(OR(C90="",D90=""),"",ROUND(MOD(D90-C90,1)*24,2))</f>
        <v/>
      </c>
      <c r="F90">
        <f>IF(C90="","",MAX(0,ROUND((C90-$J$1)*1440,0)))</f>
        <v/>
      </c>
      <c r="G90">
        <f>IF(E90="","",MAX(0,ROUND(E90-$J$2,2)))</f>
        <v/>
      </c>
    </row>
    <row r="91">
      <c r="B91" s="4" t="n"/>
      <c r="C91" s="3" t="n"/>
      <c r="D91" s="3" t="n"/>
      <c r="E91">
        <f>IF(OR(C91="",D91=""),"",ROUND(MOD(D91-C91,1)*24,2))</f>
        <v/>
      </c>
      <c r="F91">
        <f>IF(C91="","",MAX(0,ROUND((C91-$J$1)*1440,0)))</f>
        <v/>
      </c>
      <c r="G91">
        <f>IF(E91="","",MAX(0,ROUND(E91-$J$2,2)))</f>
        <v/>
      </c>
    </row>
    <row r="92">
      <c r="B92" s="4" t="n"/>
      <c r="C92" s="3" t="n"/>
      <c r="D92" s="3" t="n"/>
      <c r="E92">
        <f>IF(OR(C92="",D92=""),"",ROUND(MOD(D92-C92,1)*24,2))</f>
        <v/>
      </c>
      <c r="F92">
        <f>IF(C92="","",MAX(0,ROUND((C92-$J$1)*1440,0)))</f>
        <v/>
      </c>
      <c r="G92">
        <f>IF(E92="","",MAX(0,ROUND(E92-$J$2,2)))</f>
        <v/>
      </c>
    </row>
    <row r="93">
      <c r="B93" s="4" t="n"/>
      <c r="C93" s="3" t="n"/>
      <c r="D93" s="3" t="n"/>
      <c r="E93">
        <f>IF(OR(C93="",D93=""),"",ROUND(MOD(D93-C93,1)*24,2))</f>
        <v/>
      </c>
      <c r="F93">
        <f>IF(C93="","",MAX(0,ROUND((C93-$J$1)*1440,0)))</f>
        <v/>
      </c>
      <c r="G93">
        <f>IF(E93="","",MAX(0,ROUND(E93-$J$2,2)))</f>
        <v/>
      </c>
    </row>
    <row r="94">
      <c r="B94" s="4" t="n"/>
      <c r="C94" s="3" t="n"/>
      <c r="D94" s="3" t="n"/>
      <c r="E94">
        <f>IF(OR(C94="",D94=""),"",ROUND(MOD(D94-C94,1)*24,2))</f>
        <v/>
      </c>
      <c r="F94">
        <f>IF(C94="","",MAX(0,ROUND((C94-$J$1)*1440,0)))</f>
        <v/>
      </c>
      <c r="G94">
        <f>IF(E94="","",MAX(0,ROUND(E94-$J$2,2)))</f>
        <v/>
      </c>
    </row>
    <row r="95">
      <c r="B95" s="4" t="n"/>
      <c r="C95" s="3" t="n"/>
      <c r="D95" s="3" t="n"/>
      <c r="E95">
        <f>IF(OR(C95="",D95=""),"",ROUND(MOD(D95-C95,1)*24,2))</f>
        <v/>
      </c>
      <c r="F95">
        <f>IF(C95="","",MAX(0,ROUND((C95-$J$1)*1440,0)))</f>
        <v/>
      </c>
      <c r="G95">
        <f>IF(E95="","",MAX(0,ROUND(E95-$J$2,2)))</f>
        <v/>
      </c>
    </row>
    <row r="96">
      <c r="B96" s="4" t="n"/>
      <c r="C96" s="3" t="n"/>
      <c r="D96" s="3" t="n"/>
      <c r="E96">
        <f>IF(OR(C96="",D96=""),"",ROUND(MOD(D96-C96,1)*24,2))</f>
        <v/>
      </c>
      <c r="F96">
        <f>IF(C96="","",MAX(0,ROUND((C96-$J$1)*1440,0)))</f>
        <v/>
      </c>
      <c r="G96">
        <f>IF(E96="","",MAX(0,ROUND(E96-$J$2,2)))</f>
        <v/>
      </c>
    </row>
    <row r="97">
      <c r="B97" s="4" t="n"/>
      <c r="C97" s="3" t="n"/>
      <c r="D97" s="3" t="n"/>
      <c r="E97">
        <f>IF(OR(C97="",D97=""),"",ROUND(MOD(D97-C97,1)*24,2))</f>
        <v/>
      </c>
      <c r="F97">
        <f>IF(C97="","",MAX(0,ROUND((C97-$J$1)*1440,0)))</f>
        <v/>
      </c>
      <c r="G97">
        <f>IF(E97="","",MAX(0,ROUND(E97-$J$2,2)))</f>
        <v/>
      </c>
    </row>
    <row r="98">
      <c r="B98" s="4" t="n"/>
      <c r="C98" s="3" t="n"/>
      <c r="D98" s="3" t="n"/>
      <c r="E98">
        <f>IF(OR(C98="",D98=""),"",ROUND(MOD(D98-C98,1)*24,2))</f>
        <v/>
      </c>
      <c r="F98">
        <f>IF(C98="","",MAX(0,ROUND((C98-$J$1)*1440,0)))</f>
        <v/>
      </c>
      <c r="G98">
        <f>IF(E98="","",MAX(0,ROUND(E98-$J$2,2)))</f>
        <v/>
      </c>
    </row>
    <row r="99">
      <c r="B99" s="4" t="n"/>
      <c r="C99" s="3" t="n"/>
      <c r="D99" s="3" t="n"/>
      <c r="E99">
        <f>IF(OR(C99="",D99=""),"",ROUND(MOD(D99-C99,1)*24,2))</f>
        <v/>
      </c>
      <c r="F99">
        <f>IF(C99="","",MAX(0,ROUND((C99-$J$1)*1440,0)))</f>
        <v/>
      </c>
      <c r="G99">
        <f>IF(E99="","",MAX(0,ROUND(E99-$J$2,2)))</f>
        <v/>
      </c>
    </row>
    <row r="100">
      <c r="B100" s="4" t="n"/>
      <c r="C100" s="3" t="n"/>
      <c r="D100" s="3" t="n"/>
      <c r="E100">
        <f>IF(OR(C100="",D100=""),"",ROUND(MOD(D100-C100,1)*24,2))</f>
        <v/>
      </c>
      <c r="F100">
        <f>IF(C100="","",MAX(0,ROUND((C100-$J$1)*1440,0)))</f>
        <v/>
      </c>
      <c r="G100">
        <f>IF(E100="","",MAX(0,ROUND(E100-$J$2,2)))</f>
        <v/>
      </c>
    </row>
    <row r="101">
      <c r="B101" s="4" t="n"/>
      <c r="C101" s="3" t="n"/>
      <c r="D101" s="3" t="n"/>
      <c r="E101">
        <f>IF(OR(C101="",D101=""),"",ROUND(MOD(D101-C101,1)*24,2))</f>
        <v/>
      </c>
      <c r="F101">
        <f>IF(C101="","",MAX(0,ROUND((C101-$J$1)*1440,0)))</f>
        <v/>
      </c>
      <c r="G101">
        <f>IF(E101="","",MAX(0,ROUND(E101-$J$2,2)))</f>
        <v/>
      </c>
    </row>
    <row r="102">
      <c r="B102" s="4" t="n"/>
      <c r="C102" s="3" t="n"/>
      <c r="D102" s="3" t="n"/>
      <c r="E102">
        <f>IF(OR(C102="",D102=""),"",ROUND(MOD(D102-C102,1)*24,2))</f>
        <v/>
      </c>
      <c r="F102">
        <f>IF(C102="","",MAX(0,ROUND((C102-$J$1)*1440,0)))</f>
        <v/>
      </c>
      <c r="G102">
        <f>IF(E102="","",MAX(0,ROUND(E102-$J$2,2)))</f>
        <v/>
      </c>
    </row>
    <row r="103">
      <c r="B103" s="4" t="n"/>
      <c r="C103" s="3" t="n"/>
      <c r="D103" s="3" t="n"/>
      <c r="E103">
        <f>IF(OR(C103="",D103=""),"",ROUND(MOD(D103-C103,1)*24,2))</f>
        <v/>
      </c>
      <c r="F103">
        <f>IF(C103="","",MAX(0,ROUND((C103-$J$1)*1440,0)))</f>
        <v/>
      </c>
      <c r="G103">
        <f>IF(E103="","",MAX(0,ROUND(E103-$J$2,2)))</f>
        <v/>
      </c>
    </row>
    <row r="104">
      <c r="B104" s="4" t="n"/>
      <c r="C104" s="3" t="n"/>
      <c r="D104" s="3" t="n"/>
      <c r="E104">
        <f>IF(OR(C104="",D104=""),"",ROUND(MOD(D104-C104,1)*24,2))</f>
        <v/>
      </c>
      <c r="F104">
        <f>IF(C104="","",MAX(0,ROUND((C104-$J$1)*1440,0)))</f>
        <v/>
      </c>
      <c r="G104">
        <f>IF(E104="","",MAX(0,ROUND(E104-$J$2,2)))</f>
        <v/>
      </c>
    </row>
    <row r="105">
      <c r="B105" s="4" t="n"/>
      <c r="C105" s="3" t="n"/>
      <c r="D105" s="3" t="n"/>
      <c r="E105">
        <f>IF(OR(C105="",D105=""),"",ROUND(MOD(D105-C105,1)*24,2))</f>
        <v/>
      </c>
      <c r="F105">
        <f>IF(C105="","",MAX(0,ROUND((C105-$J$1)*1440,0)))</f>
        <v/>
      </c>
      <c r="G105">
        <f>IF(E105="","",MAX(0,ROUND(E105-$J$2,2)))</f>
        <v/>
      </c>
    </row>
    <row r="106">
      <c r="B106" s="4" t="n"/>
      <c r="C106" s="3" t="n"/>
      <c r="D106" s="3" t="n"/>
      <c r="E106">
        <f>IF(OR(C106="",D106=""),"",ROUND(MOD(D106-C106,1)*24,2))</f>
        <v/>
      </c>
      <c r="F106">
        <f>IF(C106="","",MAX(0,ROUND((C106-$J$1)*1440,0)))</f>
        <v/>
      </c>
      <c r="G106">
        <f>IF(E106="","",MAX(0,ROUND(E106-$J$2,2)))</f>
        <v/>
      </c>
    </row>
    <row r="107">
      <c r="B107" s="4" t="n"/>
      <c r="C107" s="3" t="n"/>
      <c r="D107" s="3" t="n"/>
      <c r="E107">
        <f>IF(OR(C107="",D107=""),"",ROUND(MOD(D107-C107,1)*24,2))</f>
        <v/>
      </c>
      <c r="F107">
        <f>IF(C107="","",MAX(0,ROUND((C107-$J$1)*1440,0)))</f>
        <v/>
      </c>
      <c r="G107">
        <f>IF(E107="","",MAX(0,ROUND(E107-$J$2,2)))</f>
        <v/>
      </c>
    </row>
    <row r="108">
      <c r="B108" s="4" t="n"/>
      <c r="C108" s="3" t="n"/>
      <c r="D108" s="3" t="n"/>
      <c r="E108">
        <f>IF(OR(C108="",D108=""),"",ROUND(MOD(D108-C108,1)*24,2))</f>
        <v/>
      </c>
      <c r="F108">
        <f>IF(C108="","",MAX(0,ROUND((C108-$J$1)*1440,0)))</f>
        <v/>
      </c>
      <c r="G108">
        <f>IF(E108="","",MAX(0,ROUND(E108-$J$2,2)))</f>
        <v/>
      </c>
    </row>
    <row r="109">
      <c r="B109" s="4" t="n"/>
      <c r="C109" s="3" t="n"/>
      <c r="D109" s="3" t="n"/>
      <c r="E109">
        <f>IF(OR(C109="",D109=""),"",ROUND(MOD(D109-C109,1)*24,2))</f>
        <v/>
      </c>
      <c r="F109">
        <f>IF(C109="","",MAX(0,ROUND((C109-$J$1)*1440,0)))</f>
        <v/>
      </c>
      <c r="G109">
        <f>IF(E109="","",MAX(0,ROUND(E109-$J$2,2)))</f>
        <v/>
      </c>
    </row>
    <row r="110">
      <c r="B110" s="4" t="n"/>
      <c r="C110" s="3" t="n"/>
      <c r="D110" s="3" t="n"/>
      <c r="E110">
        <f>IF(OR(C110="",D110=""),"",ROUND(MOD(D110-C110,1)*24,2))</f>
        <v/>
      </c>
      <c r="F110">
        <f>IF(C110="","",MAX(0,ROUND((C110-$J$1)*1440,0)))</f>
        <v/>
      </c>
      <c r="G110">
        <f>IF(E110="","",MAX(0,ROUND(E110-$J$2,2)))</f>
        <v/>
      </c>
    </row>
    <row r="111">
      <c r="B111" s="4" t="n"/>
      <c r="C111" s="3" t="n"/>
      <c r="D111" s="3" t="n"/>
      <c r="E111">
        <f>IF(OR(C111="",D111=""),"",ROUND(MOD(D111-C111,1)*24,2))</f>
        <v/>
      </c>
      <c r="F111">
        <f>IF(C111="","",MAX(0,ROUND((C111-$J$1)*1440,0)))</f>
        <v/>
      </c>
      <c r="G111">
        <f>IF(E111="","",MAX(0,ROUND(E111-$J$2,2)))</f>
        <v/>
      </c>
    </row>
    <row r="112">
      <c r="B112" s="4" t="n"/>
      <c r="C112" s="3" t="n"/>
      <c r="D112" s="3" t="n"/>
      <c r="E112">
        <f>IF(OR(C112="",D112=""),"",ROUND(MOD(D112-C112,1)*24,2))</f>
        <v/>
      </c>
      <c r="F112">
        <f>IF(C112="","",MAX(0,ROUND((C112-$J$1)*1440,0)))</f>
        <v/>
      </c>
      <c r="G112">
        <f>IF(E112="","",MAX(0,ROUND(E112-$J$2,2)))</f>
        <v/>
      </c>
    </row>
    <row r="113">
      <c r="B113" s="4" t="n"/>
      <c r="C113" s="3" t="n"/>
      <c r="D113" s="3" t="n"/>
      <c r="E113">
        <f>IF(OR(C113="",D113=""),"",ROUND(MOD(D113-C113,1)*24,2))</f>
        <v/>
      </c>
      <c r="F113">
        <f>IF(C113="","",MAX(0,ROUND((C113-$J$1)*1440,0)))</f>
        <v/>
      </c>
      <c r="G113">
        <f>IF(E113="","",MAX(0,ROUND(E113-$J$2,2)))</f>
        <v/>
      </c>
    </row>
    <row r="114">
      <c r="B114" s="4" t="n"/>
      <c r="C114" s="3" t="n"/>
      <c r="D114" s="3" t="n"/>
      <c r="E114">
        <f>IF(OR(C114="",D114=""),"",ROUND(MOD(D114-C114,1)*24,2))</f>
        <v/>
      </c>
      <c r="F114">
        <f>IF(C114="","",MAX(0,ROUND((C114-$J$1)*1440,0)))</f>
        <v/>
      </c>
      <c r="G114">
        <f>IF(E114="","",MAX(0,ROUND(E114-$J$2,2)))</f>
        <v/>
      </c>
    </row>
    <row r="115">
      <c r="B115" s="4" t="n"/>
      <c r="C115" s="3" t="n"/>
      <c r="D115" s="3" t="n"/>
      <c r="E115">
        <f>IF(OR(C115="",D115=""),"",ROUND(MOD(D115-C115,1)*24,2))</f>
        <v/>
      </c>
      <c r="F115">
        <f>IF(C115="","",MAX(0,ROUND((C115-$J$1)*1440,0)))</f>
        <v/>
      </c>
      <c r="G115">
        <f>IF(E115="","",MAX(0,ROUND(E115-$J$2,2)))</f>
        <v/>
      </c>
    </row>
    <row r="116">
      <c r="B116" s="4" t="n"/>
      <c r="C116" s="3" t="n"/>
      <c r="D116" s="3" t="n"/>
      <c r="E116">
        <f>IF(OR(C116="",D116=""),"",ROUND(MOD(D116-C116,1)*24,2))</f>
        <v/>
      </c>
      <c r="F116">
        <f>IF(C116="","",MAX(0,ROUND((C116-$J$1)*1440,0)))</f>
        <v/>
      </c>
      <c r="G116">
        <f>IF(E116="","",MAX(0,ROUND(E116-$J$2,2)))</f>
        <v/>
      </c>
    </row>
    <row r="117">
      <c r="B117" s="4" t="n"/>
      <c r="C117" s="3" t="n"/>
      <c r="D117" s="3" t="n"/>
      <c r="E117">
        <f>IF(OR(C117="",D117=""),"",ROUND(MOD(D117-C117,1)*24,2))</f>
        <v/>
      </c>
      <c r="F117">
        <f>IF(C117="","",MAX(0,ROUND((C117-$J$1)*1440,0)))</f>
        <v/>
      </c>
      <c r="G117">
        <f>IF(E117="","",MAX(0,ROUND(E117-$J$2,2)))</f>
        <v/>
      </c>
    </row>
    <row r="118">
      <c r="B118" s="4" t="n"/>
      <c r="C118" s="3" t="n"/>
      <c r="D118" s="3" t="n"/>
      <c r="E118">
        <f>IF(OR(C118="",D118=""),"",ROUND(MOD(D118-C118,1)*24,2))</f>
        <v/>
      </c>
      <c r="F118">
        <f>IF(C118="","",MAX(0,ROUND((C118-$J$1)*1440,0)))</f>
        <v/>
      </c>
      <c r="G118">
        <f>IF(E118="","",MAX(0,ROUND(E118-$J$2,2)))</f>
        <v/>
      </c>
    </row>
    <row r="119">
      <c r="B119" s="4" t="n"/>
      <c r="C119" s="3" t="n"/>
      <c r="D119" s="3" t="n"/>
      <c r="E119">
        <f>IF(OR(C119="",D119=""),"",ROUND(MOD(D119-C119,1)*24,2))</f>
        <v/>
      </c>
      <c r="F119">
        <f>IF(C119="","",MAX(0,ROUND((C119-$J$1)*1440,0)))</f>
        <v/>
      </c>
      <c r="G119">
        <f>IF(E119="","",MAX(0,ROUND(E119-$J$2,2)))</f>
        <v/>
      </c>
    </row>
    <row r="120">
      <c r="B120" s="4" t="n"/>
      <c r="C120" s="3" t="n"/>
      <c r="D120" s="3" t="n"/>
      <c r="E120">
        <f>IF(OR(C120="",D120=""),"",ROUND(MOD(D120-C120,1)*24,2))</f>
        <v/>
      </c>
      <c r="F120">
        <f>IF(C120="","",MAX(0,ROUND((C120-$J$1)*1440,0)))</f>
        <v/>
      </c>
      <c r="G120">
        <f>IF(E120="","",MAX(0,ROUND(E120-$J$2,2)))</f>
        <v/>
      </c>
    </row>
    <row r="121">
      <c r="B121" s="4" t="n"/>
      <c r="C121" s="3" t="n"/>
      <c r="D121" s="3" t="n"/>
      <c r="E121">
        <f>IF(OR(C121="",D121=""),"",ROUND(MOD(D121-C121,1)*24,2))</f>
        <v/>
      </c>
      <c r="F121">
        <f>IF(C121="","",MAX(0,ROUND((C121-$J$1)*1440,0)))</f>
        <v/>
      </c>
      <c r="G121">
        <f>IF(E121="","",MAX(0,ROUND(E121-$J$2,2)))</f>
        <v/>
      </c>
    </row>
    <row r="122">
      <c r="B122" s="4" t="n"/>
      <c r="C122" s="3" t="n"/>
      <c r="D122" s="3" t="n"/>
      <c r="E122">
        <f>IF(OR(C122="",D122=""),"",ROUND(MOD(D122-C122,1)*24,2))</f>
        <v/>
      </c>
      <c r="F122">
        <f>IF(C122="","",MAX(0,ROUND((C122-$J$1)*1440,0)))</f>
        <v/>
      </c>
      <c r="G122">
        <f>IF(E122="","",MAX(0,ROUND(E122-$J$2,2)))</f>
        <v/>
      </c>
    </row>
    <row r="123">
      <c r="B123" s="4" t="n"/>
      <c r="C123" s="3" t="n"/>
      <c r="D123" s="3" t="n"/>
      <c r="E123">
        <f>IF(OR(C123="",D123=""),"",ROUND(MOD(D123-C123,1)*24,2))</f>
        <v/>
      </c>
      <c r="F123">
        <f>IF(C123="","",MAX(0,ROUND((C123-$J$1)*1440,0)))</f>
        <v/>
      </c>
      <c r="G123">
        <f>IF(E123="","",MAX(0,ROUND(E123-$J$2,2)))</f>
        <v/>
      </c>
    </row>
    <row r="124">
      <c r="B124" s="4" t="n"/>
      <c r="C124" s="3" t="n"/>
      <c r="D124" s="3" t="n"/>
      <c r="E124">
        <f>IF(OR(C124="",D124=""),"",ROUND(MOD(D124-C124,1)*24,2))</f>
        <v/>
      </c>
      <c r="F124">
        <f>IF(C124="","",MAX(0,ROUND((C124-$J$1)*1440,0)))</f>
        <v/>
      </c>
      <c r="G124">
        <f>IF(E124="","",MAX(0,ROUND(E124-$J$2,2)))</f>
        <v/>
      </c>
    </row>
    <row r="125">
      <c r="B125" s="4" t="n"/>
      <c r="C125" s="3" t="n"/>
      <c r="D125" s="3" t="n"/>
      <c r="E125">
        <f>IF(OR(C125="",D125=""),"",ROUND(MOD(D125-C125,1)*24,2))</f>
        <v/>
      </c>
      <c r="F125">
        <f>IF(C125="","",MAX(0,ROUND((C125-$J$1)*1440,0)))</f>
        <v/>
      </c>
      <c r="G125">
        <f>IF(E125="","",MAX(0,ROUND(E125-$J$2,2)))</f>
        <v/>
      </c>
    </row>
    <row r="126">
      <c r="B126" s="4" t="n"/>
      <c r="C126" s="3" t="n"/>
      <c r="D126" s="3" t="n"/>
      <c r="E126">
        <f>IF(OR(C126="",D126=""),"",ROUND(MOD(D126-C126,1)*24,2))</f>
        <v/>
      </c>
      <c r="F126">
        <f>IF(C126="","",MAX(0,ROUND((C126-$J$1)*1440,0)))</f>
        <v/>
      </c>
      <c r="G126">
        <f>IF(E126="","",MAX(0,ROUND(E126-$J$2,2)))</f>
        <v/>
      </c>
    </row>
    <row r="127">
      <c r="B127" s="4" t="n"/>
      <c r="C127" s="3" t="n"/>
      <c r="D127" s="3" t="n"/>
      <c r="E127">
        <f>IF(OR(C127="",D127=""),"",ROUND(MOD(D127-C127,1)*24,2))</f>
        <v/>
      </c>
      <c r="F127">
        <f>IF(C127="","",MAX(0,ROUND((C127-$J$1)*1440,0)))</f>
        <v/>
      </c>
      <c r="G127">
        <f>IF(E127="","",MAX(0,ROUND(E127-$J$2,2)))</f>
        <v/>
      </c>
    </row>
    <row r="128">
      <c r="B128" s="4" t="n"/>
      <c r="C128" s="3" t="n"/>
      <c r="D128" s="3" t="n"/>
      <c r="E128">
        <f>IF(OR(C128="",D128=""),"",ROUND(MOD(D128-C128,1)*24,2))</f>
        <v/>
      </c>
      <c r="F128">
        <f>IF(C128="","",MAX(0,ROUND((C128-$J$1)*1440,0)))</f>
        <v/>
      </c>
      <c r="G128">
        <f>IF(E128="","",MAX(0,ROUND(E128-$J$2,2)))</f>
        <v/>
      </c>
    </row>
    <row r="129">
      <c r="B129" s="4" t="n"/>
      <c r="C129" s="3" t="n"/>
      <c r="D129" s="3" t="n"/>
      <c r="E129">
        <f>IF(OR(C129="",D129=""),"",ROUND(MOD(D129-C129,1)*24,2))</f>
        <v/>
      </c>
      <c r="F129">
        <f>IF(C129="","",MAX(0,ROUND((C129-$J$1)*1440,0)))</f>
        <v/>
      </c>
      <c r="G129">
        <f>IF(E129="","",MAX(0,ROUND(E129-$J$2,2)))</f>
        <v/>
      </c>
    </row>
    <row r="130">
      <c r="B130" s="4" t="n"/>
      <c r="C130" s="3" t="n"/>
      <c r="D130" s="3" t="n"/>
      <c r="E130">
        <f>IF(OR(C130="",D130=""),"",ROUND(MOD(D130-C130,1)*24,2))</f>
        <v/>
      </c>
      <c r="F130">
        <f>IF(C130="","",MAX(0,ROUND((C130-$J$1)*1440,0)))</f>
        <v/>
      </c>
      <c r="G130">
        <f>IF(E130="","",MAX(0,ROUND(E130-$J$2,2)))</f>
        <v/>
      </c>
    </row>
    <row r="131">
      <c r="B131" s="4" t="n"/>
      <c r="C131" s="3" t="n"/>
      <c r="D131" s="3" t="n"/>
      <c r="E131">
        <f>IF(OR(C131="",D131=""),"",ROUND(MOD(D131-C131,1)*24,2))</f>
        <v/>
      </c>
      <c r="F131">
        <f>IF(C131="","",MAX(0,ROUND((C131-$J$1)*1440,0)))</f>
        <v/>
      </c>
      <c r="G131">
        <f>IF(E131="","",MAX(0,ROUND(E131-$J$2,2)))</f>
        <v/>
      </c>
    </row>
    <row r="132">
      <c r="B132" s="4" t="n"/>
      <c r="C132" s="3" t="n"/>
      <c r="D132" s="3" t="n"/>
      <c r="E132">
        <f>IF(OR(C132="",D132=""),"",ROUND(MOD(D132-C132,1)*24,2))</f>
        <v/>
      </c>
      <c r="F132">
        <f>IF(C132="","",MAX(0,ROUND((C132-$J$1)*1440,0)))</f>
        <v/>
      </c>
      <c r="G132">
        <f>IF(E132="","",MAX(0,ROUND(E132-$J$2,2)))</f>
        <v/>
      </c>
    </row>
    <row r="133">
      <c r="B133" s="4" t="n"/>
      <c r="C133" s="3" t="n"/>
      <c r="D133" s="3" t="n"/>
      <c r="E133">
        <f>IF(OR(C133="",D133=""),"",ROUND(MOD(D133-C133,1)*24,2))</f>
        <v/>
      </c>
      <c r="F133">
        <f>IF(C133="","",MAX(0,ROUND((C133-$J$1)*1440,0)))</f>
        <v/>
      </c>
      <c r="G133">
        <f>IF(E133="","",MAX(0,ROUND(E133-$J$2,2)))</f>
        <v/>
      </c>
    </row>
    <row r="134">
      <c r="B134" s="4" t="n"/>
      <c r="C134" s="3" t="n"/>
      <c r="D134" s="3" t="n"/>
      <c r="E134">
        <f>IF(OR(C134="",D134=""),"",ROUND(MOD(D134-C134,1)*24,2))</f>
        <v/>
      </c>
      <c r="F134">
        <f>IF(C134="","",MAX(0,ROUND((C134-$J$1)*1440,0)))</f>
        <v/>
      </c>
      <c r="G134">
        <f>IF(E134="","",MAX(0,ROUND(E134-$J$2,2)))</f>
        <v/>
      </c>
    </row>
    <row r="135">
      <c r="B135" s="4" t="n"/>
      <c r="C135" s="3" t="n"/>
      <c r="D135" s="3" t="n"/>
      <c r="E135">
        <f>IF(OR(C135="",D135=""),"",ROUND(MOD(D135-C135,1)*24,2))</f>
        <v/>
      </c>
      <c r="F135">
        <f>IF(C135="","",MAX(0,ROUND((C135-$J$1)*1440,0)))</f>
        <v/>
      </c>
      <c r="G135">
        <f>IF(E135="","",MAX(0,ROUND(E135-$J$2,2)))</f>
        <v/>
      </c>
    </row>
    <row r="136">
      <c r="B136" s="4" t="n"/>
      <c r="C136" s="3" t="n"/>
      <c r="D136" s="3" t="n"/>
      <c r="E136">
        <f>IF(OR(C136="",D136=""),"",ROUND(MOD(D136-C136,1)*24,2))</f>
        <v/>
      </c>
      <c r="F136">
        <f>IF(C136="","",MAX(0,ROUND((C136-$J$1)*1440,0)))</f>
        <v/>
      </c>
      <c r="G136">
        <f>IF(E136="","",MAX(0,ROUND(E136-$J$2,2)))</f>
        <v/>
      </c>
    </row>
    <row r="137">
      <c r="B137" s="4" t="n"/>
      <c r="C137" s="3" t="n"/>
      <c r="D137" s="3" t="n"/>
      <c r="E137">
        <f>IF(OR(C137="",D137=""),"",ROUND(MOD(D137-C137,1)*24,2))</f>
        <v/>
      </c>
      <c r="F137">
        <f>IF(C137="","",MAX(0,ROUND((C137-$J$1)*1440,0)))</f>
        <v/>
      </c>
      <c r="G137">
        <f>IF(E137="","",MAX(0,ROUND(E137-$J$2,2)))</f>
        <v/>
      </c>
    </row>
    <row r="138">
      <c r="B138" s="4" t="n"/>
      <c r="C138" s="3" t="n"/>
      <c r="D138" s="3" t="n"/>
      <c r="E138">
        <f>IF(OR(C138="",D138=""),"",ROUND(MOD(D138-C138,1)*24,2))</f>
        <v/>
      </c>
      <c r="F138">
        <f>IF(C138="","",MAX(0,ROUND((C138-$J$1)*1440,0)))</f>
        <v/>
      </c>
      <c r="G138">
        <f>IF(E138="","",MAX(0,ROUND(E138-$J$2,2)))</f>
        <v/>
      </c>
    </row>
    <row r="139">
      <c r="B139" s="4" t="n"/>
      <c r="C139" s="3" t="n"/>
      <c r="D139" s="3" t="n"/>
      <c r="E139">
        <f>IF(OR(C139="",D139=""),"",ROUND(MOD(D139-C139,1)*24,2))</f>
        <v/>
      </c>
      <c r="F139">
        <f>IF(C139="","",MAX(0,ROUND((C139-$J$1)*1440,0)))</f>
        <v/>
      </c>
      <c r="G139">
        <f>IF(E139="","",MAX(0,ROUND(E139-$J$2,2)))</f>
        <v/>
      </c>
    </row>
    <row r="140">
      <c r="B140" s="4" t="n"/>
      <c r="C140" s="3" t="n"/>
      <c r="D140" s="3" t="n"/>
      <c r="E140">
        <f>IF(OR(C140="",D140=""),"",ROUND(MOD(D140-C140,1)*24,2))</f>
        <v/>
      </c>
      <c r="F140">
        <f>IF(C140="","",MAX(0,ROUND((C140-$J$1)*1440,0)))</f>
        <v/>
      </c>
      <c r="G140">
        <f>IF(E140="","",MAX(0,ROUND(E140-$J$2,2)))</f>
        <v/>
      </c>
    </row>
    <row r="141">
      <c r="B141" s="4" t="n"/>
      <c r="C141" s="3" t="n"/>
      <c r="D141" s="3" t="n"/>
      <c r="E141">
        <f>IF(OR(C141="",D141=""),"",ROUND(MOD(D141-C141,1)*24,2))</f>
        <v/>
      </c>
      <c r="F141">
        <f>IF(C141="","",MAX(0,ROUND((C141-$J$1)*1440,0)))</f>
        <v/>
      </c>
      <c r="G141">
        <f>IF(E141="","",MAX(0,ROUND(E141-$J$2,2)))</f>
        <v/>
      </c>
    </row>
    <row r="142">
      <c r="B142" s="4" t="n"/>
      <c r="C142" s="3" t="n"/>
      <c r="D142" s="3" t="n"/>
      <c r="E142">
        <f>IF(OR(C142="",D142=""),"",ROUND(MOD(D142-C142,1)*24,2))</f>
        <v/>
      </c>
      <c r="F142">
        <f>IF(C142="","",MAX(0,ROUND((C142-$J$1)*1440,0)))</f>
        <v/>
      </c>
      <c r="G142">
        <f>IF(E142="","",MAX(0,ROUND(E142-$J$2,2)))</f>
        <v/>
      </c>
    </row>
    <row r="143">
      <c r="B143" s="4" t="n"/>
      <c r="C143" s="3" t="n"/>
      <c r="D143" s="3" t="n"/>
      <c r="E143">
        <f>IF(OR(C143="",D143=""),"",ROUND(MOD(D143-C143,1)*24,2))</f>
        <v/>
      </c>
      <c r="F143">
        <f>IF(C143="","",MAX(0,ROUND((C143-$J$1)*1440,0)))</f>
        <v/>
      </c>
      <c r="G143">
        <f>IF(E143="","",MAX(0,ROUND(E143-$J$2,2)))</f>
        <v/>
      </c>
    </row>
    <row r="144">
      <c r="B144" s="4" t="n"/>
      <c r="C144" s="3" t="n"/>
      <c r="D144" s="3" t="n"/>
      <c r="E144">
        <f>IF(OR(C144="",D144=""),"",ROUND(MOD(D144-C144,1)*24,2))</f>
        <v/>
      </c>
      <c r="F144">
        <f>IF(C144="","",MAX(0,ROUND((C144-$J$1)*1440,0)))</f>
        <v/>
      </c>
      <c r="G144">
        <f>IF(E144="","",MAX(0,ROUND(E144-$J$2,2)))</f>
        <v/>
      </c>
    </row>
    <row r="145">
      <c r="B145" s="4" t="n"/>
      <c r="C145" s="3" t="n"/>
      <c r="D145" s="3" t="n"/>
      <c r="E145">
        <f>IF(OR(C145="",D145=""),"",ROUND(MOD(D145-C145,1)*24,2))</f>
        <v/>
      </c>
      <c r="F145">
        <f>IF(C145="","",MAX(0,ROUND((C145-$J$1)*1440,0)))</f>
        <v/>
      </c>
      <c r="G145">
        <f>IF(E145="","",MAX(0,ROUND(E145-$J$2,2)))</f>
        <v/>
      </c>
    </row>
    <row r="146">
      <c r="B146" s="4" t="n"/>
      <c r="C146" s="3" t="n"/>
      <c r="D146" s="3" t="n"/>
      <c r="E146">
        <f>IF(OR(C146="",D146=""),"",ROUND(MOD(D146-C146,1)*24,2))</f>
        <v/>
      </c>
      <c r="F146">
        <f>IF(C146="","",MAX(0,ROUND((C146-$J$1)*1440,0)))</f>
        <v/>
      </c>
      <c r="G146">
        <f>IF(E146="","",MAX(0,ROUND(E146-$J$2,2)))</f>
        <v/>
      </c>
    </row>
    <row r="147">
      <c r="B147" s="4" t="n"/>
      <c r="C147" s="3" t="n"/>
      <c r="D147" s="3" t="n"/>
      <c r="E147">
        <f>IF(OR(C147="",D147=""),"",ROUND(MOD(D147-C147,1)*24,2))</f>
        <v/>
      </c>
      <c r="F147">
        <f>IF(C147="","",MAX(0,ROUND((C147-$J$1)*1440,0)))</f>
        <v/>
      </c>
      <c r="G147">
        <f>IF(E147="","",MAX(0,ROUND(E147-$J$2,2)))</f>
        <v/>
      </c>
    </row>
    <row r="148">
      <c r="B148" s="4" t="n"/>
      <c r="C148" s="3" t="n"/>
      <c r="D148" s="3" t="n"/>
      <c r="E148">
        <f>IF(OR(C148="",D148=""),"",ROUND(MOD(D148-C148,1)*24,2))</f>
        <v/>
      </c>
      <c r="F148">
        <f>IF(C148="","",MAX(0,ROUND((C148-$J$1)*1440,0)))</f>
        <v/>
      </c>
      <c r="G148">
        <f>IF(E148="","",MAX(0,ROUND(E148-$J$2,2)))</f>
        <v/>
      </c>
    </row>
    <row r="149">
      <c r="B149" s="4" t="n"/>
      <c r="C149" s="3" t="n"/>
      <c r="D149" s="3" t="n"/>
      <c r="E149">
        <f>IF(OR(C149="",D149=""),"",ROUND(MOD(D149-C149,1)*24,2))</f>
        <v/>
      </c>
      <c r="F149">
        <f>IF(C149="","",MAX(0,ROUND((C149-$J$1)*1440,0)))</f>
        <v/>
      </c>
      <c r="G149">
        <f>IF(E149="","",MAX(0,ROUND(E149-$J$2,2)))</f>
        <v/>
      </c>
    </row>
    <row r="150">
      <c r="B150" s="4" t="n"/>
      <c r="C150" s="3" t="n"/>
      <c r="D150" s="3" t="n"/>
      <c r="E150">
        <f>IF(OR(C150="",D150=""),"",ROUND(MOD(D150-C150,1)*24,2))</f>
        <v/>
      </c>
      <c r="F150">
        <f>IF(C150="","",MAX(0,ROUND((C150-$J$1)*1440,0)))</f>
        <v/>
      </c>
      <c r="G150">
        <f>IF(E150="","",MAX(0,ROUND(E150-$J$2,2)))</f>
        <v/>
      </c>
    </row>
    <row r="151">
      <c r="B151" s="4" t="n"/>
      <c r="C151" s="3" t="n"/>
      <c r="D151" s="3" t="n"/>
      <c r="E151">
        <f>IF(OR(C151="",D151=""),"",ROUND(MOD(D151-C151,1)*24,2))</f>
        <v/>
      </c>
      <c r="F151">
        <f>IF(C151="","",MAX(0,ROUND((C151-$J$1)*1440,0)))</f>
        <v/>
      </c>
      <c r="G151">
        <f>IF(E151="","",MAX(0,ROUND(E151-$J$2,2)))</f>
        <v/>
      </c>
    </row>
    <row r="152">
      <c r="B152" s="4" t="n"/>
      <c r="C152" s="3" t="n"/>
      <c r="D152" s="3" t="n"/>
      <c r="E152">
        <f>IF(OR(C152="",D152=""),"",ROUND(MOD(D152-C152,1)*24,2))</f>
        <v/>
      </c>
      <c r="F152">
        <f>IF(C152="","",MAX(0,ROUND((C152-$J$1)*1440,0)))</f>
        <v/>
      </c>
      <c r="G152">
        <f>IF(E152="","",MAX(0,ROUND(E152-$J$2,2)))</f>
        <v/>
      </c>
    </row>
    <row r="153">
      <c r="B153" s="4" t="n"/>
      <c r="C153" s="3" t="n"/>
      <c r="D153" s="3" t="n"/>
      <c r="E153">
        <f>IF(OR(C153="",D153=""),"",ROUND(MOD(D153-C153,1)*24,2))</f>
        <v/>
      </c>
      <c r="F153">
        <f>IF(C153="","",MAX(0,ROUND((C153-$J$1)*1440,0)))</f>
        <v/>
      </c>
      <c r="G153">
        <f>IF(E153="","",MAX(0,ROUND(E153-$J$2,2)))</f>
        <v/>
      </c>
    </row>
    <row r="154">
      <c r="B154" s="4" t="n"/>
      <c r="C154" s="3" t="n"/>
      <c r="D154" s="3" t="n"/>
      <c r="E154">
        <f>IF(OR(C154="",D154=""),"",ROUND(MOD(D154-C154,1)*24,2))</f>
        <v/>
      </c>
      <c r="F154">
        <f>IF(C154="","",MAX(0,ROUND((C154-$J$1)*1440,0)))</f>
        <v/>
      </c>
      <c r="G154">
        <f>IF(E154="","",MAX(0,ROUND(E154-$J$2,2)))</f>
        <v/>
      </c>
    </row>
    <row r="155">
      <c r="B155" s="4" t="n"/>
      <c r="C155" s="3" t="n"/>
      <c r="D155" s="3" t="n"/>
      <c r="E155">
        <f>IF(OR(C155="",D155=""),"",ROUND(MOD(D155-C155,1)*24,2))</f>
        <v/>
      </c>
      <c r="F155">
        <f>IF(C155="","",MAX(0,ROUND((C155-$J$1)*1440,0)))</f>
        <v/>
      </c>
      <c r="G155">
        <f>IF(E155="","",MAX(0,ROUND(E155-$J$2,2)))</f>
        <v/>
      </c>
    </row>
    <row r="156">
      <c r="B156" s="4" t="n"/>
      <c r="C156" s="3" t="n"/>
      <c r="D156" s="3" t="n"/>
      <c r="E156">
        <f>IF(OR(C156="",D156=""),"",ROUND(MOD(D156-C156,1)*24,2))</f>
        <v/>
      </c>
      <c r="F156">
        <f>IF(C156="","",MAX(0,ROUND((C156-$J$1)*1440,0)))</f>
        <v/>
      </c>
      <c r="G156">
        <f>IF(E156="","",MAX(0,ROUND(E156-$J$2,2)))</f>
        <v/>
      </c>
    </row>
    <row r="157">
      <c r="B157" s="4" t="n"/>
      <c r="C157" s="3" t="n"/>
      <c r="D157" s="3" t="n"/>
      <c r="E157">
        <f>IF(OR(C157="",D157=""),"",ROUND(MOD(D157-C157,1)*24,2))</f>
        <v/>
      </c>
      <c r="F157">
        <f>IF(C157="","",MAX(0,ROUND((C157-$J$1)*1440,0)))</f>
        <v/>
      </c>
      <c r="G157">
        <f>IF(E157="","",MAX(0,ROUND(E157-$J$2,2)))</f>
        <v/>
      </c>
    </row>
    <row r="158">
      <c r="B158" s="4" t="n"/>
      <c r="C158" s="3" t="n"/>
      <c r="D158" s="3" t="n"/>
      <c r="E158">
        <f>IF(OR(C158="",D158=""),"",ROUND(MOD(D158-C158,1)*24,2))</f>
        <v/>
      </c>
      <c r="F158">
        <f>IF(C158="","",MAX(0,ROUND((C158-$J$1)*1440,0)))</f>
        <v/>
      </c>
      <c r="G158">
        <f>IF(E158="","",MAX(0,ROUND(E158-$J$2,2)))</f>
        <v/>
      </c>
    </row>
    <row r="159">
      <c r="B159" s="4" t="n"/>
      <c r="C159" s="3" t="n"/>
      <c r="D159" s="3" t="n"/>
      <c r="E159">
        <f>IF(OR(C159="",D159=""),"",ROUND(MOD(D159-C159,1)*24,2))</f>
        <v/>
      </c>
      <c r="F159">
        <f>IF(C159="","",MAX(0,ROUND((C159-$J$1)*1440,0)))</f>
        <v/>
      </c>
      <c r="G159">
        <f>IF(E159="","",MAX(0,ROUND(E159-$J$2,2)))</f>
        <v/>
      </c>
    </row>
    <row r="160">
      <c r="B160" s="4" t="n"/>
      <c r="C160" s="3" t="n"/>
      <c r="D160" s="3" t="n"/>
      <c r="E160">
        <f>IF(OR(C160="",D160=""),"",ROUND(MOD(D160-C160,1)*24,2))</f>
        <v/>
      </c>
      <c r="F160">
        <f>IF(C160="","",MAX(0,ROUND((C160-$J$1)*1440,0)))</f>
        <v/>
      </c>
      <c r="G160">
        <f>IF(E160="","",MAX(0,ROUND(E160-$J$2,2)))</f>
        <v/>
      </c>
    </row>
    <row r="161">
      <c r="B161" s="4" t="n"/>
      <c r="C161" s="3" t="n"/>
      <c r="D161" s="3" t="n"/>
      <c r="E161">
        <f>IF(OR(C161="",D161=""),"",ROUND(MOD(D161-C161,1)*24,2))</f>
        <v/>
      </c>
      <c r="F161">
        <f>IF(C161="","",MAX(0,ROUND((C161-$J$1)*1440,0)))</f>
        <v/>
      </c>
      <c r="G161">
        <f>IF(E161="","",MAX(0,ROUND(E161-$J$2,2)))</f>
        <v/>
      </c>
    </row>
    <row r="162">
      <c r="B162" s="4" t="n"/>
      <c r="C162" s="3" t="n"/>
      <c r="D162" s="3" t="n"/>
      <c r="E162">
        <f>IF(OR(C162="",D162=""),"",ROUND(MOD(D162-C162,1)*24,2))</f>
        <v/>
      </c>
      <c r="F162">
        <f>IF(C162="","",MAX(0,ROUND((C162-$J$1)*1440,0)))</f>
        <v/>
      </c>
      <c r="G162">
        <f>IF(E162="","",MAX(0,ROUND(E162-$J$2,2)))</f>
        <v/>
      </c>
    </row>
    <row r="163">
      <c r="B163" s="4" t="n"/>
      <c r="C163" s="3" t="n"/>
      <c r="D163" s="3" t="n"/>
      <c r="E163">
        <f>IF(OR(C163="",D163=""),"",ROUND(MOD(D163-C163,1)*24,2))</f>
        <v/>
      </c>
      <c r="F163">
        <f>IF(C163="","",MAX(0,ROUND((C163-$J$1)*1440,0)))</f>
        <v/>
      </c>
      <c r="G163">
        <f>IF(E163="","",MAX(0,ROUND(E163-$J$2,2)))</f>
        <v/>
      </c>
    </row>
    <row r="164">
      <c r="B164" s="4" t="n"/>
      <c r="C164" s="3" t="n"/>
      <c r="D164" s="3" t="n"/>
      <c r="E164">
        <f>IF(OR(C164="",D164=""),"",ROUND(MOD(D164-C164,1)*24,2))</f>
        <v/>
      </c>
      <c r="F164">
        <f>IF(C164="","",MAX(0,ROUND((C164-$J$1)*1440,0)))</f>
        <v/>
      </c>
      <c r="G164">
        <f>IF(E164="","",MAX(0,ROUND(E164-$J$2,2)))</f>
        <v/>
      </c>
    </row>
    <row r="165">
      <c r="B165" s="4" t="n"/>
      <c r="C165" s="3" t="n"/>
      <c r="D165" s="3" t="n"/>
      <c r="E165">
        <f>IF(OR(C165="",D165=""),"",ROUND(MOD(D165-C165,1)*24,2))</f>
        <v/>
      </c>
      <c r="F165">
        <f>IF(C165="","",MAX(0,ROUND((C165-$J$1)*1440,0)))</f>
        <v/>
      </c>
      <c r="G165">
        <f>IF(E165="","",MAX(0,ROUND(E165-$J$2,2)))</f>
        <v/>
      </c>
    </row>
    <row r="166">
      <c r="B166" s="4" t="n"/>
      <c r="C166" s="3" t="n"/>
      <c r="D166" s="3" t="n"/>
      <c r="E166">
        <f>IF(OR(C166="",D166=""),"",ROUND(MOD(D166-C166,1)*24,2))</f>
        <v/>
      </c>
      <c r="F166">
        <f>IF(C166="","",MAX(0,ROUND((C166-$J$1)*1440,0)))</f>
        <v/>
      </c>
      <c r="G166">
        <f>IF(E166="","",MAX(0,ROUND(E166-$J$2,2)))</f>
        <v/>
      </c>
    </row>
    <row r="167">
      <c r="B167" s="4" t="n"/>
      <c r="C167" s="3" t="n"/>
      <c r="D167" s="3" t="n"/>
      <c r="E167">
        <f>IF(OR(C167="",D167=""),"",ROUND(MOD(D167-C167,1)*24,2))</f>
        <v/>
      </c>
      <c r="F167">
        <f>IF(C167="","",MAX(0,ROUND((C167-$J$1)*1440,0)))</f>
        <v/>
      </c>
      <c r="G167">
        <f>IF(E167="","",MAX(0,ROUND(E167-$J$2,2)))</f>
        <v/>
      </c>
    </row>
    <row r="168">
      <c r="B168" s="4" t="n"/>
      <c r="C168" s="3" t="n"/>
      <c r="D168" s="3" t="n"/>
      <c r="E168">
        <f>IF(OR(C168="",D168=""),"",ROUND(MOD(D168-C168,1)*24,2))</f>
        <v/>
      </c>
      <c r="F168">
        <f>IF(C168="","",MAX(0,ROUND((C168-$J$1)*1440,0)))</f>
        <v/>
      </c>
      <c r="G168">
        <f>IF(E168="","",MAX(0,ROUND(E168-$J$2,2)))</f>
        <v/>
      </c>
    </row>
    <row r="169">
      <c r="B169" s="4" t="n"/>
      <c r="C169" s="3" t="n"/>
      <c r="D169" s="3" t="n"/>
      <c r="E169">
        <f>IF(OR(C169="",D169=""),"",ROUND(MOD(D169-C169,1)*24,2))</f>
        <v/>
      </c>
      <c r="F169">
        <f>IF(C169="","",MAX(0,ROUND((C169-$J$1)*1440,0)))</f>
        <v/>
      </c>
      <c r="G169">
        <f>IF(E169="","",MAX(0,ROUND(E169-$J$2,2)))</f>
        <v/>
      </c>
    </row>
    <row r="170">
      <c r="B170" s="4" t="n"/>
      <c r="C170" s="3" t="n"/>
      <c r="D170" s="3" t="n"/>
      <c r="E170">
        <f>IF(OR(C170="",D170=""),"",ROUND(MOD(D170-C170,1)*24,2))</f>
        <v/>
      </c>
      <c r="F170">
        <f>IF(C170="","",MAX(0,ROUND((C170-$J$1)*1440,0)))</f>
        <v/>
      </c>
      <c r="G170">
        <f>IF(E170="","",MAX(0,ROUND(E170-$J$2,2)))</f>
        <v/>
      </c>
    </row>
    <row r="171">
      <c r="B171" s="4" t="n"/>
      <c r="C171" s="3" t="n"/>
      <c r="D171" s="3" t="n"/>
      <c r="E171">
        <f>IF(OR(C171="",D171=""),"",ROUND(MOD(D171-C171,1)*24,2))</f>
        <v/>
      </c>
      <c r="F171">
        <f>IF(C171="","",MAX(0,ROUND((C171-$J$1)*1440,0)))</f>
        <v/>
      </c>
      <c r="G171">
        <f>IF(E171="","",MAX(0,ROUND(E171-$J$2,2)))</f>
        <v/>
      </c>
    </row>
    <row r="172">
      <c r="B172" s="4" t="n"/>
      <c r="C172" s="3" t="n"/>
      <c r="D172" s="3" t="n"/>
      <c r="E172">
        <f>IF(OR(C172="",D172=""),"",ROUND(MOD(D172-C172,1)*24,2))</f>
        <v/>
      </c>
      <c r="F172">
        <f>IF(C172="","",MAX(0,ROUND((C172-$J$1)*1440,0)))</f>
        <v/>
      </c>
      <c r="G172">
        <f>IF(E172="","",MAX(0,ROUND(E172-$J$2,2)))</f>
        <v/>
      </c>
    </row>
    <row r="173">
      <c r="B173" s="4" t="n"/>
      <c r="C173" s="3" t="n"/>
      <c r="D173" s="3" t="n"/>
      <c r="E173">
        <f>IF(OR(C173="",D173=""),"",ROUND(MOD(D173-C173,1)*24,2))</f>
        <v/>
      </c>
      <c r="F173">
        <f>IF(C173="","",MAX(0,ROUND((C173-$J$1)*1440,0)))</f>
        <v/>
      </c>
      <c r="G173">
        <f>IF(E173="","",MAX(0,ROUND(E173-$J$2,2)))</f>
        <v/>
      </c>
    </row>
    <row r="174">
      <c r="B174" s="4" t="n"/>
      <c r="C174" s="3" t="n"/>
      <c r="D174" s="3" t="n"/>
      <c r="E174">
        <f>IF(OR(C174="",D174=""),"",ROUND(MOD(D174-C174,1)*24,2))</f>
        <v/>
      </c>
      <c r="F174">
        <f>IF(C174="","",MAX(0,ROUND((C174-$J$1)*1440,0)))</f>
        <v/>
      </c>
      <c r="G174">
        <f>IF(E174="","",MAX(0,ROUND(E174-$J$2,2)))</f>
        <v/>
      </c>
    </row>
    <row r="175">
      <c r="B175" s="4" t="n"/>
      <c r="C175" s="3" t="n"/>
      <c r="D175" s="3" t="n"/>
      <c r="E175">
        <f>IF(OR(C175="",D175=""),"",ROUND(MOD(D175-C175,1)*24,2))</f>
        <v/>
      </c>
      <c r="F175">
        <f>IF(C175="","",MAX(0,ROUND((C175-$J$1)*1440,0)))</f>
        <v/>
      </c>
      <c r="G175">
        <f>IF(E175="","",MAX(0,ROUND(E175-$J$2,2)))</f>
        <v/>
      </c>
    </row>
    <row r="176">
      <c r="B176" s="4" t="n"/>
      <c r="C176" s="3" t="n"/>
      <c r="D176" s="3" t="n"/>
      <c r="E176">
        <f>IF(OR(C176="",D176=""),"",ROUND(MOD(D176-C176,1)*24,2))</f>
        <v/>
      </c>
      <c r="F176">
        <f>IF(C176="","",MAX(0,ROUND((C176-$J$1)*1440,0)))</f>
        <v/>
      </c>
      <c r="G176">
        <f>IF(E176="","",MAX(0,ROUND(E176-$J$2,2)))</f>
        <v/>
      </c>
    </row>
    <row r="177">
      <c r="B177" s="4" t="n"/>
      <c r="C177" s="3" t="n"/>
      <c r="D177" s="3" t="n"/>
      <c r="E177">
        <f>IF(OR(C177="",D177=""),"",ROUND(MOD(D177-C177,1)*24,2))</f>
        <v/>
      </c>
      <c r="F177">
        <f>IF(C177="","",MAX(0,ROUND((C177-$J$1)*1440,0)))</f>
        <v/>
      </c>
      <c r="G177">
        <f>IF(E177="","",MAX(0,ROUND(E177-$J$2,2)))</f>
        <v/>
      </c>
    </row>
    <row r="178">
      <c r="B178" s="4" t="n"/>
      <c r="C178" s="3" t="n"/>
      <c r="D178" s="3" t="n"/>
      <c r="E178">
        <f>IF(OR(C178="",D178=""),"",ROUND(MOD(D178-C178,1)*24,2))</f>
        <v/>
      </c>
      <c r="F178">
        <f>IF(C178="","",MAX(0,ROUND((C178-$J$1)*1440,0)))</f>
        <v/>
      </c>
      <c r="G178">
        <f>IF(E178="","",MAX(0,ROUND(E178-$J$2,2)))</f>
        <v/>
      </c>
    </row>
    <row r="179">
      <c r="B179" s="4" t="n"/>
      <c r="C179" s="3" t="n"/>
      <c r="D179" s="3" t="n"/>
      <c r="E179">
        <f>IF(OR(C179="",D179=""),"",ROUND(MOD(D179-C179,1)*24,2))</f>
        <v/>
      </c>
      <c r="F179">
        <f>IF(C179="","",MAX(0,ROUND((C179-$J$1)*1440,0)))</f>
        <v/>
      </c>
      <c r="G179">
        <f>IF(E179="","",MAX(0,ROUND(E179-$J$2,2)))</f>
        <v/>
      </c>
    </row>
    <row r="180">
      <c r="B180" s="4" t="n"/>
      <c r="C180" s="3" t="n"/>
      <c r="D180" s="3" t="n"/>
      <c r="E180">
        <f>IF(OR(C180="",D180=""),"",ROUND(MOD(D180-C180,1)*24,2))</f>
        <v/>
      </c>
      <c r="F180">
        <f>IF(C180="","",MAX(0,ROUND((C180-$J$1)*1440,0)))</f>
        <v/>
      </c>
      <c r="G180">
        <f>IF(E180="","",MAX(0,ROUND(E180-$J$2,2)))</f>
        <v/>
      </c>
    </row>
    <row r="181">
      <c r="B181" s="4" t="n"/>
      <c r="C181" s="3" t="n"/>
      <c r="D181" s="3" t="n"/>
      <c r="E181">
        <f>IF(OR(C181="",D181=""),"",ROUND(MOD(D181-C181,1)*24,2))</f>
        <v/>
      </c>
      <c r="F181">
        <f>IF(C181="","",MAX(0,ROUND((C181-$J$1)*1440,0)))</f>
        <v/>
      </c>
      <c r="G181">
        <f>IF(E181="","",MAX(0,ROUND(E181-$J$2,2)))</f>
        <v/>
      </c>
    </row>
    <row r="182">
      <c r="B182" s="4" t="n"/>
      <c r="C182" s="3" t="n"/>
      <c r="D182" s="3" t="n"/>
      <c r="E182">
        <f>IF(OR(C182="",D182=""),"",ROUND(MOD(D182-C182,1)*24,2))</f>
        <v/>
      </c>
      <c r="F182">
        <f>IF(C182="","",MAX(0,ROUND((C182-$J$1)*1440,0)))</f>
        <v/>
      </c>
      <c r="G182">
        <f>IF(E182="","",MAX(0,ROUND(E182-$J$2,2)))</f>
        <v/>
      </c>
    </row>
    <row r="183">
      <c r="B183" s="4" t="n"/>
      <c r="C183" s="3" t="n"/>
      <c r="D183" s="3" t="n"/>
      <c r="E183">
        <f>IF(OR(C183="",D183=""),"",ROUND(MOD(D183-C183,1)*24,2))</f>
        <v/>
      </c>
      <c r="F183">
        <f>IF(C183="","",MAX(0,ROUND((C183-$J$1)*1440,0)))</f>
        <v/>
      </c>
      <c r="G183">
        <f>IF(E183="","",MAX(0,ROUND(E183-$J$2,2)))</f>
        <v/>
      </c>
    </row>
    <row r="184">
      <c r="B184" s="4" t="n"/>
      <c r="C184" s="3" t="n"/>
      <c r="D184" s="3" t="n"/>
      <c r="E184">
        <f>IF(OR(C184="",D184=""),"",ROUND(MOD(D184-C184,1)*24,2))</f>
        <v/>
      </c>
      <c r="F184">
        <f>IF(C184="","",MAX(0,ROUND((C184-$J$1)*1440,0)))</f>
        <v/>
      </c>
      <c r="G184">
        <f>IF(E184="","",MAX(0,ROUND(E184-$J$2,2)))</f>
        <v/>
      </c>
    </row>
    <row r="185">
      <c r="B185" s="4" t="n"/>
      <c r="C185" s="3" t="n"/>
      <c r="D185" s="3" t="n"/>
      <c r="E185">
        <f>IF(OR(C185="",D185=""),"",ROUND(MOD(D185-C185,1)*24,2))</f>
        <v/>
      </c>
      <c r="F185">
        <f>IF(C185="","",MAX(0,ROUND((C185-$J$1)*1440,0)))</f>
        <v/>
      </c>
      <c r="G185">
        <f>IF(E185="","",MAX(0,ROUND(E185-$J$2,2)))</f>
        <v/>
      </c>
    </row>
    <row r="186">
      <c r="B186" s="4" t="n"/>
      <c r="C186" s="3" t="n"/>
      <c r="D186" s="3" t="n"/>
      <c r="E186">
        <f>IF(OR(C186="",D186=""),"",ROUND(MOD(D186-C186,1)*24,2))</f>
        <v/>
      </c>
      <c r="F186">
        <f>IF(C186="","",MAX(0,ROUND((C186-$J$1)*1440,0)))</f>
        <v/>
      </c>
      <c r="G186">
        <f>IF(E186="","",MAX(0,ROUND(E186-$J$2,2)))</f>
        <v/>
      </c>
    </row>
    <row r="187">
      <c r="B187" s="4" t="n"/>
      <c r="C187" s="3" t="n"/>
      <c r="D187" s="3" t="n"/>
      <c r="E187">
        <f>IF(OR(C187="",D187=""),"",ROUND(MOD(D187-C187,1)*24,2))</f>
        <v/>
      </c>
      <c r="F187">
        <f>IF(C187="","",MAX(0,ROUND((C187-$J$1)*1440,0)))</f>
        <v/>
      </c>
      <c r="G187">
        <f>IF(E187="","",MAX(0,ROUND(E187-$J$2,2)))</f>
        <v/>
      </c>
    </row>
    <row r="188">
      <c r="B188" s="4" t="n"/>
      <c r="C188" s="3" t="n"/>
      <c r="D188" s="3" t="n"/>
      <c r="E188">
        <f>IF(OR(C188="",D188=""),"",ROUND(MOD(D188-C188,1)*24,2))</f>
        <v/>
      </c>
      <c r="F188">
        <f>IF(C188="","",MAX(0,ROUND((C188-$J$1)*1440,0)))</f>
        <v/>
      </c>
      <c r="G188">
        <f>IF(E188="","",MAX(0,ROUND(E188-$J$2,2)))</f>
        <v/>
      </c>
    </row>
    <row r="189">
      <c r="B189" s="4" t="n"/>
      <c r="C189" s="3" t="n"/>
      <c r="D189" s="3" t="n"/>
      <c r="E189">
        <f>IF(OR(C189="",D189=""),"",ROUND(MOD(D189-C189,1)*24,2))</f>
        <v/>
      </c>
      <c r="F189">
        <f>IF(C189="","",MAX(0,ROUND((C189-$J$1)*1440,0)))</f>
        <v/>
      </c>
      <c r="G189">
        <f>IF(E189="","",MAX(0,ROUND(E189-$J$2,2)))</f>
        <v/>
      </c>
    </row>
    <row r="190">
      <c r="B190" s="4" t="n"/>
      <c r="C190" s="3" t="n"/>
      <c r="D190" s="3" t="n"/>
      <c r="E190">
        <f>IF(OR(C190="",D190=""),"",ROUND(MOD(D190-C190,1)*24,2))</f>
        <v/>
      </c>
      <c r="F190">
        <f>IF(C190="","",MAX(0,ROUND((C190-$J$1)*1440,0)))</f>
        <v/>
      </c>
      <c r="G190">
        <f>IF(E190="","",MAX(0,ROUND(E190-$J$2,2)))</f>
        <v/>
      </c>
    </row>
    <row r="191">
      <c r="B191" s="4" t="n"/>
      <c r="C191" s="3" t="n"/>
      <c r="D191" s="3" t="n"/>
      <c r="E191">
        <f>IF(OR(C191="",D191=""),"",ROUND(MOD(D191-C191,1)*24,2))</f>
        <v/>
      </c>
      <c r="F191">
        <f>IF(C191="","",MAX(0,ROUND((C191-$J$1)*1440,0)))</f>
        <v/>
      </c>
      <c r="G191">
        <f>IF(E191="","",MAX(0,ROUND(E191-$J$2,2)))</f>
        <v/>
      </c>
    </row>
    <row r="192">
      <c r="B192" s="4" t="n"/>
      <c r="C192" s="3" t="n"/>
      <c r="D192" s="3" t="n"/>
      <c r="E192">
        <f>IF(OR(C192="",D192=""),"",ROUND(MOD(D192-C192,1)*24,2))</f>
        <v/>
      </c>
      <c r="F192">
        <f>IF(C192="","",MAX(0,ROUND((C192-$J$1)*1440,0)))</f>
        <v/>
      </c>
      <c r="G192">
        <f>IF(E192="","",MAX(0,ROUND(E192-$J$2,2)))</f>
        <v/>
      </c>
    </row>
    <row r="193">
      <c r="B193" s="4" t="n"/>
      <c r="C193" s="3" t="n"/>
      <c r="D193" s="3" t="n"/>
      <c r="E193">
        <f>IF(OR(C193="",D193=""),"",ROUND(MOD(D193-C193,1)*24,2))</f>
        <v/>
      </c>
      <c r="F193">
        <f>IF(C193="","",MAX(0,ROUND((C193-$J$1)*1440,0)))</f>
        <v/>
      </c>
      <c r="G193">
        <f>IF(E193="","",MAX(0,ROUND(E193-$J$2,2)))</f>
        <v/>
      </c>
    </row>
    <row r="194">
      <c r="B194" s="4" t="n"/>
      <c r="C194" s="3" t="n"/>
      <c r="D194" s="3" t="n"/>
      <c r="E194">
        <f>IF(OR(C194="",D194=""),"",ROUND(MOD(D194-C194,1)*24,2))</f>
        <v/>
      </c>
      <c r="F194">
        <f>IF(C194="","",MAX(0,ROUND((C194-$J$1)*1440,0)))</f>
        <v/>
      </c>
      <c r="G194">
        <f>IF(E194="","",MAX(0,ROUND(E194-$J$2,2)))</f>
        <v/>
      </c>
    </row>
    <row r="195">
      <c r="B195" s="4" t="n"/>
      <c r="C195" s="3" t="n"/>
      <c r="D195" s="3" t="n"/>
      <c r="E195">
        <f>IF(OR(C195="",D195=""),"",ROUND(MOD(D195-C195,1)*24,2))</f>
        <v/>
      </c>
      <c r="F195">
        <f>IF(C195="","",MAX(0,ROUND((C195-$J$1)*1440,0)))</f>
        <v/>
      </c>
      <c r="G195">
        <f>IF(E195="","",MAX(0,ROUND(E195-$J$2,2)))</f>
        <v/>
      </c>
    </row>
    <row r="196">
      <c r="B196" s="4" t="n"/>
      <c r="C196" s="3" t="n"/>
      <c r="D196" s="3" t="n"/>
      <c r="E196">
        <f>IF(OR(C196="",D196=""),"",ROUND(MOD(D196-C196,1)*24,2))</f>
        <v/>
      </c>
      <c r="F196">
        <f>IF(C196="","",MAX(0,ROUND((C196-$J$1)*1440,0)))</f>
        <v/>
      </c>
      <c r="G196">
        <f>IF(E196="","",MAX(0,ROUND(E196-$J$2,2)))</f>
        <v/>
      </c>
    </row>
    <row r="197">
      <c r="B197" s="4" t="n"/>
      <c r="C197" s="3" t="n"/>
      <c r="D197" s="3" t="n"/>
      <c r="E197">
        <f>IF(OR(C197="",D197=""),"",ROUND(MOD(D197-C197,1)*24,2))</f>
        <v/>
      </c>
      <c r="F197">
        <f>IF(C197="","",MAX(0,ROUND((C197-$J$1)*1440,0)))</f>
        <v/>
      </c>
      <c r="G197">
        <f>IF(E197="","",MAX(0,ROUND(E197-$J$2,2)))</f>
        <v/>
      </c>
    </row>
    <row r="198">
      <c r="B198" s="4" t="n"/>
      <c r="C198" s="3" t="n"/>
      <c r="D198" s="3" t="n"/>
      <c r="E198">
        <f>IF(OR(C198="",D198=""),"",ROUND(MOD(D198-C198,1)*24,2))</f>
        <v/>
      </c>
      <c r="F198">
        <f>IF(C198="","",MAX(0,ROUND((C198-$J$1)*1440,0)))</f>
        <v/>
      </c>
      <c r="G198">
        <f>IF(E198="","",MAX(0,ROUND(E198-$J$2,2)))</f>
        <v/>
      </c>
    </row>
    <row r="199">
      <c r="B199" s="4" t="n"/>
      <c r="C199" s="3" t="n"/>
      <c r="D199" s="3" t="n"/>
      <c r="E199">
        <f>IF(OR(C199="",D199=""),"",ROUND(MOD(D199-C199,1)*24,2))</f>
        <v/>
      </c>
      <c r="F199">
        <f>IF(C199="","",MAX(0,ROUND((C199-$J$1)*1440,0)))</f>
        <v/>
      </c>
      <c r="G199">
        <f>IF(E199="","",MAX(0,ROUND(E199-$J$2,2)))</f>
        <v/>
      </c>
    </row>
    <row r="200">
      <c r="B200" s="4" t="n"/>
      <c r="C200" s="3" t="n"/>
      <c r="D200" s="3" t="n"/>
      <c r="E200">
        <f>IF(OR(C200="",D200=""),"",ROUND(MOD(D200-C200,1)*24,2))</f>
        <v/>
      </c>
      <c r="F200">
        <f>IF(C200="","",MAX(0,ROUND((C200-$J$1)*1440,0)))</f>
        <v/>
      </c>
      <c r="G200">
        <f>IF(E200="","",MAX(0,ROUND(E200-$J$2,2)))</f>
        <v/>
      </c>
    </row>
    <row r="201">
      <c r="B201" s="4" t="n"/>
      <c r="C201" s="3" t="n"/>
      <c r="D201" s="3" t="n"/>
      <c r="E201">
        <f>IF(OR(C201="",D201=""),"",ROUND(MOD(D201-C201,1)*24,2))</f>
        <v/>
      </c>
      <c r="F201">
        <f>IF(C201="","",MAX(0,ROUND((C201-$J$1)*1440,0)))</f>
        <v/>
      </c>
      <c r="G201">
        <f>IF(E201="","",MAX(0,ROUND(E201-$J$2,2)))</f>
        <v/>
      </c>
    </row>
    <row r="202">
      <c r="B202" s="4" t="n"/>
      <c r="C202" s="3" t="n"/>
      <c r="D202" s="3" t="n"/>
      <c r="E202">
        <f>IF(OR(C202="",D202=""),"",ROUND(MOD(D202-C202,1)*24,2))</f>
        <v/>
      </c>
      <c r="F202">
        <f>IF(C202="","",MAX(0,ROUND((C202-$J$1)*1440,0)))</f>
        <v/>
      </c>
      <c r="G202">
        <f>IF(E202="","",MAX(0,ROUND(E202-$J$2,2)))</f>
        <v/>
      </c>
    </row>
    <row r="203">
      <c r="B203" s="4" t="n"/>
      <c r="C203" s="3" t="n"/>
      <c r="D203" s="3" t="n"/>
      <c r="E203">
        <f>IF(OR(C203="",D203=""),"",ROUND(MOD(D203-C203,1)*24,2))</f>
        <v/>
      </c>
      <c r="F203">
        <f>IF(C203="","",MAX(0,ROUND((C203-$J$1)*1440,0)))</f>
        <v/>
      </c>
      <c r="G203">
        <f>IF(E203="","",MAX(0,ROUND(E203-$J$2,2)))</f>
        <v/>
      </c>
    </row>
    <row r="204">
      <c r="B204" s="4" t="n"/>
      <c r="C204" s="3" t="n"/>
      <c r="D204" s="3" t="n"/>
      <c r="E204">
        <f>IF(OR(C204="",D204=""),"",ROUND(MOD(D204-C204,1)*24,2))</f>
        <v/>
      </c>
      <c r="F204">
        <f>IF(C204="","",MAX(0,ROUND((C204-$J$1)*1440,0)))</f>
        <v/>
      </c>
      <c r="G204">
        <f>IF(E204="","",MAX(0,ROUND(E204-$J$2,2)))</f>
        <v/>
      </c>
    </row>
    <row r="205">
      <c r="B205" s="4" t="n"/>
      <c r="C205" s="3" t="n"/>
      <c r="D205" s="3" t="n"/>
      <c r="E205">
        <f>IF(OR(C205="",D205=""),"",ROUND(MOD(D205-C205,1)*24,2))</f>
        <v/>
      </c>
      <c r="F205">
        <f>IF(C205="","",MAX(0,ROUND((C205-$J$1)*1440,0)))</f>
        <v/>
      </c>
      <c r="G205">
        <f>IF(E205="","",MAX(0,ROUND(E205-$J$2,2)))</f>
        <v/>
      </c>
    </row>
    <row r="206">
      <c r="B206" s="4" t="n"/>
      <c r="C206" s="3" t="n"/>
      <c r="D206" s="3" t="n"/>
      <c r="E206">
        <f>IF(OR(C206="",D206=""),"",ROUND(MOD(D206-C206,1)*24,2))</f>
        <v/>
      </c>
      <c r="F206">
        <f>IF(C206="","",MAX(0,ROUND((C206-$J$1)*1440,0)))</f>
        <v/>
      </c>
      <c r="G206">
        <f>IF(E206="","",MAX(0,ROUND(E206-$J$2,2)))</f>
        <v/>
      </c>
    </row>
    <row r="207">
      <c r="B207" s="4" t="n"/>
      <c r="C207" s="3" t="n"/>
      <c r="D207" s="3" t="n"/>
      <c r="E207">
        <f>IF(OR(C207="",D207=""),"",ROUND(MOD(D207-C207,1)*24,2))</f>
        <v/>
      </c>
      <c r="F207">
        <f>IF(C207="","",MAX(0,ROUND((C207-$J$1)*1440,0)))</f>
        <v/>
      </c>
      <c r="G207">
        <f>IF(E207="","",MAX(0,ROUND(E207-$J$2,2)))</f>
        <v/>
      </c>
    </row>
    <row r="208">
      <c r="B208" s="4" t="n"/>
      <c r="C208" s="3" t="n"/>
      <c r="D208" s="3" t="n"/>
      <c r="E208">
        <f>IF(OR(C208="",D208=""),"",ROUND(MOD(D208-C208,1)*24,2))</f>
        <v/>
      </c>
      <c r="F208">
        <f>IF(C208="","",MAX(0,ROUND((C208-$J$1)*1440,0)))</f>
        <v/>
      </c>
      <c r="G208">
        <f>IF(E208="","",MAX(0,ROUND(E208-$J$2,2)))</f>
        <v/>
      </c>
    </row>
    <row r="209">
      <c r="B209" s="4" t="n"/>
      <c r="C209" s="3" t="n"/>
      <c r="D209" s="3" t="n"/>
      <c r="E209">
        <f>IF(OR(C209="",D209=""),"",ROUND(MOD(D209-C209,1)*24,2))</f>
        <v/>
      </c>
      <c r="F209">
        <f>IF(C209="","",MAX(0,ROUND((C209-$J$1)*1440,0)))</f>
        <v/>
      </c>
      <c r="G209">
        <f>IF(E209="","",MAX(0,ROUND(E209-$J$2,2)))</f>
        <v/>
      </c>
    </row>
    <row r="210">
      <c r="B210" s="4" t="n"/>
      <c r="C210" s="3" t="n"/>
      <c r="D210" s="3" t="n"/>
      <c r="E210">
        <f>IF(OR(C210="",D210=""),"",ROUND(MOD(D210-C210,1)*24,2))</f>
        <v/>
      </c>
      <c r="F210">
        <f>IF(C210="","",MAX(0,ROUND((C210-$J$1)*1440,0)))</f>
        <v/>
      </c>
      <c r="G210">
        <f>IF(E210="","",MAX(0,ROUND(E210-$J$2,2)))</f>
        <v/>
      </c>
    </row>
    <row r="211">
      <c r="B211" s="4" t="n"/>
      <c r="C211" s="3" t="n"/>
      <c r="D211" s="3" t="n"/>
      <c r="E211">
        <f>IF(OR(C211="",D211=""),"",ROUND(MOD(D211-C211,1)*24,2))</f>
        <v/>
      </c>
      <c r="F211">
        <f>IF(C211="","",MAX(0,ROUND((C211-$J$1)*1440,0)))</f>
        <v/>
      </c>
      <c r="G211">
        <f>IF(E211="","",MAX(0,ROUND(E211-$J$2,2)))</f>
        <v/>
      </c>
    </row>
    <row r="212">
      <c r="B212" s="4" t="n"/>
      <c r="C212" s="3" t="n"/>
      <c r="D212" s="3" t="n"/>
      <c r="E212">
        <f>IF(OR(C212="",D212=""),"",ROUND(MOD(D212-C212,1)*24,2))</f>
        <v/>
      </c>
      <c r="F212">
        <f>IF(C212="","",MAX(0,ROUND((C212-$J$1)*1440,0)))</f>
        <v/>
      </c>
      <c r="G212">
        <f>IF(E212="","",MAX(0,ROUND(E212-$J$2,2)))</f>
        <v/>
      </c>
    </row>
    <row r="213">
      <c r="B213" s="4" t="n"/>
      <c r="C213" s="3" t="n"/>
      <c r="D213" s="3" t="n"/>
      <c r="E213">
        <f>IF(OR(C213="",D213=""),"",ROUND(MOD(D213-C213,1)*24,2))</f>
        <v/>
      </c>
      <c r="F213">
        <f>IF(C213="","",MAX(0,ROUND((C213-$J$1)*1440,0)))</f>
        <v/>
      </c>
      <c r="G213">
        <f>IF(E213="","",MAX(0,ROUND(E213-$J$2,2)))</f>
        <v/>
      </c>
    </row>
    <row r="214">
      <c r="B214" s="4" t="n"/>
      <c r="C214" s="3" t="n"/>
      <c r="D214" s="3" t="n"/>
      <c r="E214">
        <f>IF(OR(C214="",D214=""),"",ROUND(MOD(D214-C214,1)*24,2))</f>
        <v/>
      </c>
      <c r="F214">
        <f>IF(C214="","",MAX(0,ROUND((C214-$J$1)*1440,0)))</f>
        <v/>
      </c>
      <c r="G214">
        <f>IF(E214="","",MAX(0,ROUND(E214-$J$2,2)))</f>
        <v/>
      </c>
    </row>
    <row r="215">
      <c r="B215" s="4" t="n"/>
      <c r="C215" s="3" t="n"/>
      <c r="D215" s="3" t="n"/>
      <c r="E215">
        <f>IF(OR(C215="",D215=""),"",ROUND(MOD(D215-C215,1)*24,2))</f>
        <v/>
      </c>
      <c r="F215">
        <f>IF(C215="","",MAX(0,ROUND((C215-$J$1)*1440,0)))</f>
        <v/>
      </c>
      <c r="G215">
        <f>IF(E215="","",MAX(0,ROUND(E215-$J$2,2)))</f>
        <v/>
      </c>
    </row>
    <row r="216">
      <c r="B216" s="4" t="n"/>
      <c r="C216" s="3" t="n"/>
      <c r="D216" s="3" t="n"/>
      <c r="E216">
        <f>IF(OR(C216="",D216=""),"",ROUND(MOD(D216-C216,1)*24,2))</f>
        <v/>
      </c>
      <c r="F216">
        <f>IF(C216="","",MAX(0,ROUND((C216-$J$1)*1440,0)))</f>
        <v/>
      </c>
      <c r="G216">
        <f>IF(E216="","",MAX(0,ROUND(E216-$J$2,2)))</f>
        <v/>
      </c>
    </row>
    <row r="217">
      <c r="B217" s="4" t="n"/>
      <c r="C217" s="3" t="n"/>
      <c r="D217" s="3" t="n"/>
      <c r="E217">
        <f>IF(OR(C217="",D217=""),"",ROUND(MOD(D217-C217,1)*24,2))</f>
        <v/>
      </c>
      <c r="F217">
        <f>IF(C217="","",MAX(0,ROUND((C217-$J$1)*1440,0)))</f>
        <v/>
      </c>
      <c r="G217">
        <f>IF(E217="","",MAX(0,ROUND(E217-$J$2,2)))</f>
        <v/>
      </c>
    </row>
    <row r="218">
      <c r="B218" s="4" t="n"/>
      <c r="C218" s="3" t="n"/>
      <c r="D218" s="3" t="n"/>
      <c r="E218">
        <f>IF(OR(C218="",D218=""),"",ROUND(MOD(D218-C218,1)*24,2))</f>
        <v/>
      </c>
      <c r="F218">
        <f>IF(C218="","",MAX(0,ROUND((C218-$J$1)*1440,0)))</f>
        <v/>
      </c>
      <c r="G218">
        <f>IF(E218="","",MAX(0,ROUND(E218-$J$2,2)))</f>
        <v/>
      </c>
    </row>
    <row r="219">
      <c r="B219" s="4" t="n"/>
      <c r="C219" s="3" t="n"/>
      <c r="D219" s="3" t="n"/>
      <c r="E219">
        <f>IF(OR(C219="",D219=""),"",ROUND(MOD(D219-C219,1)*24,2))</f>
        <v/>
      </c>
      <c r="F219">
        <f>IF(C219="","",MAX(0,ROUND((C219-$J$1)*1440,0)))</f>
        <v/>
      </c>
      <c r="G219">
        <f>IF(E219="","",MAX(0,ROUND(E219-$J$2,2)))</f>
        <v/>
      </c>
    </row>
    <row r="220">
      <c r="B220" s="4" t="n"/>
      <c r="C220" s="3" t="n"/>
      <c r="D220" s="3" t="n"/>
      <c r="E220">
        <f>IF(OR(C220="",D220=""),"",ROUND(MOD(D220-C220,1)*24,2))</f>
        <v/>
      </c>
      <c r="F220">
        <f>IF(C220="","",MAX(0,ROUND((C220-$J$1)*1440,0)))</f>
        <v/>
      </c>
      <c r="G220">
        <f>IF(E220="","",MAX(0,ROUND(E220-$J$2,2)))</f>
        <v/>
      </c>
    </row>
    <row r="221">
      <c r="B221" s="4" t="n"/>
      <c r="C221" s="3" t="n"/>
      <c r="D221" s="3" t="n"/>
      <c r="E221">
        <f>IF(OR(C221="",D221=""),"",ROUND(MOD(D221-C221,1)*24,2))</f>
        <v/>
      </c>
      <c r="F221">
        <f>IF(C221="","",MAX(0,ROUND((C221-$J$1)*1440,0)))</f>
        <v/>
      </c>
      <c r="G221">
        <f>IF(E221="","",MAX(0,ROUND(E221-$J$2,2)))</f>
        <v/>
      </c>
    </row>
    <row r="222">
      <c r="B222" s="4" t="n"/>
      <c r="C222" s="3" t="n"/>
      <c r="D222" s="3" t="n"/>
      <c r="E222">
        <f>IF(OR(C222="",D222=""),"",ROUND(MOD(D222-C222,1)*24,2))</f>
        <v/>
      </c>
      <c r="F222">
        <f>IF(C222="","",MAX(0,ROUND((C222-$J$1)*1440,0)))</f>
        <v/>
      </c>
      <c r="G222">
        <f>IF(E222="","",MAX(0,ROUND(E222-$J$2,2)))</f>
        <v/>
      </c>
    </row>
    <row r="223">
      <c r="B223" s="4" t="n"/>
      <c r="C223" s="3" t="n"/>
      <c r="D223" s="3" t="n"/>
      <c r="E223">
        <f>IF(OR(C223="",D223=""),"",ROUND(MOD(D223-C223,1)*24,2))</f>
        <v/>
      </c>
      <c r="F223">
        <f>IF(C223="","",MAX(0,ROUND((C223-$J$1)*1440,0)))</f>
        <v/>
      </c>
      <c r="G223">
        <f>IF(E223="","",MAX(0,ROUND(E223-$J$2,2)))</f>
        <v/>
      </c>
    </row>
    <row r="224">
      <c r="B224" s="4" t="n"/>
      <c r="C224" s="3" t="n"/>
      <c r="D224" s="3" t="n"/>
      <c r="E224">
        <f>IF(OR(C224="",D224=""),"",ROUND(MOD(D224-C224,1)*24,2))</f>
        <v/>
      </c>
      <c r="F224">
        <f>IF(C224="","",MAX(0,ROUND((C224-$J$1)*1440,0)))</f>
        <v/>
      </c>
      <c r="G224">
        <f>IF(E224="","",MAX(0,ROUND(E224-$J$2,2)))</f>
        <v/>
      </c>
    </row>
    <row r="225">
      <c r="B225" s="4" t="n"/>
      <c r="C225" s="3" t="n"/>
      <c r="D225" s="3" t="n"/>
      <c r="E225">
        <f>IF(OR(C225="",D225=""),"",ROUND(MOD(D225-C225,1)*24,2))</f>
        <v/>
      </c>
      <c r="F225">
        <f>IF(C225="","",MAX(0,ROUND((C225-$J$1)*1440,0)))</f>
        <v/>
      </c>
      <c r="G225">
        <f>IF(E225="","",MAX(0,ROUND(E225-$J$2,2)))</f>
        <v/>
      </c>
    </row>
    <row r="226">
      <c r="B226" s="4" t="n"/>
      <c r="C226" s="3" t="n"/>
      <c r="D226" s="3" t="n"/>
      <c r="E226">
        <f>IF(OR(C226="",D226=""),"",ROUND(MOD(D226-C226,1)*24,2))</f>
        <v/>
      </c>
      <c r="F226">
        <f>IF(C226="","",MAX(0,ROUND((C226-$J$1)*1440,0)))</f>
        <v/>
      </c>
      <c r="G226">
        <f>IF(E226="","",MAX(0,ROUND(E226-$J$2,2)))</f>
        <v/>
      </c>
    </row>
    <row r="227">
      <c r="B227" s="4" t="n"/>
      <c r="C227" s="3" t="n"/>
      <c r="D227" s="3" t="n"/>
      <c r="E227">
        <f>IF(OR(C227="",D227=""),"",ROUND(MOD(D227-C227,1)*24,2))</f>
        <v/>
      </c>
      <c r="F227">
        <f>IF(C227="","",MAX(0,ROUND((C227-$J$1)*1440,0)))</f>
        <v/>
      </c>
      <c r="G227">
        <f>IF(E227="","",MAX(0,ROUND(E227-$J$2,2)))</f>
        <v/>
      </c>
    </row>
    <row r="228">
      <c r="B228" s="4" t="n"/>
      <c r="C228" s="3" t="n"/>
      <c r="D228" s="3" t="n"/>
      <c r="E228">
        <f>IF(OR(C228="",D228=""),"",ROUND(MOD(D228-C228,1)*24,2))</f>
        <v/>
      </c>
      <c r="F228">
        <f>IF(C228="","",MAX(0,ROUND((C228-$J$1)*1440,0)))</f>
        <v/>
      </c>
      <c r="G228">
        <f>IF(E228="","",MAX(0,ROUND(E228-$J$2,2)))</f>
        <v/>
      </c>
    </row>
    <row r="229">
      <c r="B229" s="4" t="n"/>
      <c r="C229" s="3" t="n"/>
      <c r="D229" s="3" t="n"/>
      <c r="E229">
        <f>IF(OR(C229="",D229=""),"",ROUND(MOD(D229-C229,1)*24,2))</f>
        <v/>
      </c>
      <c r="F229">
        <f>IF(C229="","",MAX(0,ROUND((C229-$J$1)*1440,0)))</f>
        <v/>
      </c>
      <c r="G229">
        <f>IF(E229="","",MAX(0,ROUND(E229-$J$2,2)))</f>
        <v/>
      </c>
    </row>
    <row r="230">
      <c r="B230" s="4" t="n"/>
      <c r="C230" s="3" t="n"/>
      <c r="D230" s="3" t="n"/>
      <c r="E230">
        <f>IF(OR(C230="",D230=""),"",ROUND(MOD(D230-C230,1)*24,2))</f>
        <v/>
      </c>
      <c r="F230">
        <f>IF(C230="","",MAX(0,ROUND((C230-$J$1)*1440,0)))</f>
        <v/>
      </c>
      <c r="G230">
        <f>IF(E230="","",MAX(0,ROUND(E230-$J$2,2)))</f>
        <v/>
      </c>
    </row>
    <row r="231">
      <c r="B231" s="4" t="n"/>
      <c r="C231" s="3" t="n"/>
      <c r="D231" s="3" t="n"/>
      <c r="E231">
        <f>IF(OR(C231="",D231=""),"",ROUND(MOD(D231-C231,1)*24,2))</f>
        <v/>
      </c>
      <c r="F231">
        <f>IF(C231="","",MAX(0,ROUND((C231-$J$1)*1440,0)))</f>
        <v/>
      </c>
      <c r="G231">
        <f>IF(E231="","",MAX(0,ROUND(E231-$J$2,2)))</f>
        <v/>
      </c>
    </row>
    <row r="232">
      <c r="B232" s="4" t="n"/>
      <c r="C232" s="3" t="n"/>
      <c r="D232" s="3" t="n"/>
      <c r="E232">
        <f>IF(OR(C232="",D232=""),"",ROUND(MOD(D232-C232,1)*24,2))</f>
        <v/>
      </c>
      <c r="F232">
        <f>IF(C232="","",MAX(0,ROUND((C232-$J$1)*1440,0)))</f>
        <v/>
      </c>
      <c r="G232">
        <f>IF(E232="","",MAX(0,ROUND(E232-$J$2,2)))</f>
        <v/>
      </c>
    </row>
    <row r="233">
      <c r="B233" s="4" t="n"/>
      <c r="C233" s="3" t="n"/>
      <c r="D233" s="3" t="n"/>
      <c r="E233">
        <f>IF(OR(C233="",D233=""),"",ROUND(MOD(D233-C233,1)*24,2))</f>
        <v/>
      </c>
      <c r="F233">
        <f>IF(C233="","",MAX(0,ROUND((C233-$J$1)*1440,0)))</f>
        <v/>
      </c>
      <c r="G233">
        <f>IF(E233="","",MAX(0,ROUND(E233-$J$2,2)))</f>
        <v/>
      </c>
    </row>
    <row r="234">
      <c r="B234" s="4" t="n"/>
      <c r="C234" s="3" t="n"/>
      <c r="D234" s="3" t="n"/>
      <c r="E234">
        <f>IF(OR(C234="",D234=""),"",ROUND(MOD(D234-C234,1)*24,2))</f>
        <v/>
      </c>
      <c r="F234">
        <f>IF(C234="","",MAX(0,ROUND((C234-$J$1)*1440,0)))</f>
        <v/>
      </c>
      <c r="G234">
        <f>IF(E234="","",MAX(0,ROUND(E234-$J$2,2)))</f>
        <v/>
      </c>
    </row>
    <row r="235">
      <c r="B235" s="4" t="n"/>
      <c r="C235" s="3" t="n"/>
      <c r="D235" s="3" t="n"/>
      <c r="E235">
        <f>IF(OR(C235="",D235=""),"",ROUND(MOD(D235-C235,1)*24,2))</f>
        <v/>
      </c>
      <c r="F235">
        <f>IF(C235="","",MAX(0,ROUND((C235-$J$1)*1440,0)))</f>
        <v/>
      </c>
      <c r="G235">
        <f>IF(E235="","",MAX(0,ROUND(E235-$J$2,2)))</f>
        <v/>
      </c>
    </row>
    <row r="236">
      <c r="B236" s="4" t="n"/>
      <c r="C236" s="3" t="n"/>
      <c r="D236" s="3" t="n"/>
      <c r="E236">
        <f>IF(OR(C236="",D236=""),"",ROUND(MOD(D236-C236,1)*24,2))</f>
        <v/>
      </c>
      <c r="F236">
        <f>IF(C236="","",MAX(0,ROUND((C236-$J$1)*1440,0)))</f>
        <v/>
      </c>
      <c r="G236">
        <f>IF(E236="","",MAX(0,ROUND(E236-$J$2,2)))</f>
        <v/>
      </c>
    </row>
    <row r="237">
      <c r="B237" s="4" t="n"/>
      <c r="C237" s="3" t="n"/>
      <c r="D237" s="3" t="n"/>
      <c r="E237">
        <f>IF(OR(C237="",D237=""),"",ROUND(MOD(D237-C237,1)*24,2))</f>
        <v/>
      </c>
      <c r="F237">
        <f>IF(C237="","",MAX(0,ROUND((C237-$J$1)*1440,0)))</f>
        <v/>
      </c>
      <c r="G237">
        <f>IF(E237="","",MAX(0,ROUND(E237-$J$2,2)))</f>
        <v/>
      </c>
    </row>
    <row r="238">
      <c r="B238" s="4" t="n"/>
      <c r="C238" s="3" t="n"/>
      <c r="D238" s="3" t="n"/>
      <c r="E238">
        <f>IF(OR(C238="",D238=""),"",ROUND(MOD(D238-C238,1)*24,2))</f>
        <v/>
      </c>
      <c r="F238">
        <f>IF(C238="","",MAX(0,ROUND((C238-$J$1)*1440,0)))</f>
        <v/>
      </c>
      <c r="G238">
        <f>IF(E238="","",MAX(0,ROUND(E238-$J$2,2)))</f>
        <v/>
      </c>
    </row>
    <row r="239">
      <c r="B239" s="4" t="n"/>
      <c r="C239" s="3" t="n"/>
      <c r="D239" s="3" t="n"/>
      <c r="E239">
        <f>IF(OR(C239="",D239=""),"",ROUND(MOD(D239-C239,1)*24,2))</f>
        <v/>
      </c>
      <c r="F239">
        <f>IF(C239="","",MAX(0,ROUND((C239-$J$1)*1440,0)))</f>
        <v/>
      </c>
      <c r="G239">
        <f>IF(E239="","",MAX(0,ROUND(E239-$J$2,2)))</f>
        <v/>
      </c>
    </row>
    <row r="240">
      <c r="B240" s="4" t="n"/>
      <c r="C240" s="3" t="n"/>
      <c r="D240" s="3" t="n"/>
      <c r="E240">
        <f>IF(OR(C240="",D240=""),"",ROUND(MOD(D240-C240,1)*24,2))</f>
        <v/>
      </c>
      <c r="F240">
        <f>IF(C240="","",MAX(0,ROUND((C240-$J$1)*1440,0)))</f>
        <v/>
      </c>
      <c r="G240">
        <f>IF(E240="","",MAX(0,ROUND(E240-$J$2,2)))</f>
        <v/>
      </c>
    </row>
    <row r="241">
      <c r="B241" s="4" t="n"/>
      <c r="C241" s="3" t="n"/>
      <c r="D241" s="3" t="n"/>
      <c r="E241">
        <f>IF(OR(C241="",D241=""),"",ROUND(MOD(D241-C241,1)*24,2))</f>
        <v/>
      </c>
      <c r="F241">
        <f>IF(C241="","",MAX(0,ROUND((C241-$J$1)*1440,0)))</f>
        <v/>
      </c>
      <c r="G241">
        <f>IF(E241="","",MAX(0,ROUND(E241-$J$2,2)))</f>
        <v/>
      </c>
    </row>
    <row r="242">
      <c r="B242" s="4" t="n"/>
      <c r="C242" s="3" t="n"/>
      <c r="D242" s="3" t="n"/>
      <c r="E242">
        <f>IF(OR(C242="",D242=""),"",ROUND(MOD(D242-C242,1)*24,2))</f>
        <v/>
      </c>
      <c r="F242">
        <f>IF(C242="","",MAX(0,ROUND((C242-$J$1)*1440,0)))</f>
        <v/>
      </c>
      <c r="G242">
        <f>IF(E242="","",MAX(0,ROUND(E242-$J$2,2)))</f>
        <v/>
      </c>
    </row>
    <row r="243">
      <c r="B243" s="4" t="n"/>
      <c r="C243" s="3" t="n"/>
      <c r="D243" s="3" t="n"/>
      <c r="E243">
        <f>IF(OR(C243="",D243=""),"",ROUND(MOD(D243-C243,1)*24,2))</f>
        <v/>
      </c>
      <c r="F243">
        <f>IF(C243="","",MAX(0,ROUND((C243-$J$1)*1440,0)))</f>
        <v/>
      </c>
      <c r="G243">
        <f>IF(E243="","",MAX(0,ROUND(E243-$J$2,2)))</f>
        <v/>
      </c>
    </row>
    <row r="244">
      <c r="B244" s="4" t="n"/>
      <c r="C244" s="3" t="n"/>
      <c r="D244" s="3" t="n"/>
      <c r="E244">
        <f>IF(OR(C244="",D244=""),"",ROUND(MOD(D244-C244,1)*24,2))</f>
        <v/>
      </c>
      <c r="F244">
        <f>IF(C244="","",MAX(0,ROUND((C244-$J$1)*1440,0)))</f>
        <v/>
      </c>
      <c r="G244">
        <f>IF(E244="","",MAX(0,ROUND(E244-$J$2,2)))</f>
        <v/>
      </c>
    </row>
    <row r="245">
      <c r="B245" s="4" t="n"/>
      <c r="C245" s="3" t="n"/>
      <c r="D245" s="3" t="n"/>
      <c r="E245">
        <f>IF(OR(C245="",D245=""),"",ROUND(MOD(D245-C245,1)*24,2))</f>
        <v/>
      </c>
      <c r="F245">
        <f>IF(C245="","",MAX(0,ROUND((C245-$J$1)*1440,0)))</f>
        <v/>
      </c>
      <c r="G245">
        <f>IF(E245="","",MAX(0,ROUND(E245-$J$2,2)))</f>
        <v/>
      </c>
    </row>
    <row r="246">
      <c r="B246" s="4" t="n"/>
      <c r="C246" s="3" t="n"/>
      <c r="D246" s="3" t="n"/>
      <c r="E246">
        <f>IF(OR(C246="",D246=""),"",ROUND(MOD(D246-C246,1)*24,2))</f>
        <v/>
      </c>
      <c r="F246">
        <f>IF(C246="","",MAX(0,ROUND((C246-$J$1)*1440,0)))</f>
        <v/>
      </c>
      <c r="G246">
        <f>IF(E246="","",MAX(0,ROUND(E246-$J$2,2)))</f>
        <v/>
      </c>
    </row>
    <row r="247">
      <c r="B247" s="4" t="n"/>
      <c r="C247" s="3" t="n"/>
      <c r="D247" s="3" t="n"/>
      <c r="E247">
        <f>IF(OR(C247="",D247=""),"",ROUND(MOD(D247-C247,1)*24,2))</f>
        <v/>
      </c>
      <c r="F247">
        <f>IF(C247="","",MAX(0,ROUND((C247-$J$1)*1440,0)))</f>
        <v/>
      </c>
      <c r="G247">
        <f>IF(E247="","",MAX(0,ROUND(E247-$J$2,2)))</f>
        <v/>
      </c>
    </row>
    <row r="248">
      <c r="B248" s="4" t="n"/>
      <c r="C248" s="3" t="n"/>
      <c r="D248" s="3" t="n"/>
      <c r="E248">
        <f>IF(OR(C248="",D248=""),"",ROUND(MOD(D248-C248,1)*24,2))</f>
        <v/>
      </c>
      <c r="F248">
        <f>IF(C248="","",MAX(0,ROUND((C248-$J$1)*1440,0)))</f>
        <v/>
      </c>
      <c r="G248">
        <f>IF(E248="","",MAX(0,ROUND(E248-$J$2,2)))</f>
        <v/>
      </c>
    </row>
    <row r="249">
      <c r="B249" s="4" t="n"/>
      <c r="C249" s="3" t="n"/>
      <c r="D249" s="3" t="n"/>
      <c r="E249">
        <f>IF(OR(C249="",D249=""),"",ROUND(MOD(D249-C249,1)*24,2))</f>
        <v/>
      </c>
      <c r="F249">
        <f>IF(C249="","",MAX(0,ROUND((C249-$J$1)*1440,0)))</f>
        <v/>
      </c>
      <c r="G249">
        <f>IF(E249="","",MAX(0,ROUND(E249-$J$2,2)))</f>
        <v/>
      </c>
    </row>
    <row r="250">
      <c r="B250" s="4" t="n"/>
      <c r="C250" s="3" t="n"/>
      <c r="D250" s="3" t="n"/>
      <c r="E250">
        <f>IF(OR(C250="",D250=""),"",ROUND(MOD(D250-C250,1)*24,2))</f>
        <v/>
      </c>
      <c r="F250">
        <f>IF(C250="","",MAX(0,ROUND((C250-$J$1)*1440,0)))</f>
        <v/>
      </c>
      <c r="G250">
        <f>IF(E250="","",MAX(0,ROUND(E250-$J$2,2)))</f>
        <v/>
      </c>
    </row>
    <row r="251">
      <c r="B251" s="4" t="n"/>
      <c r="C251" s="3" t="n"/>
      <c r="D251" s="3" t="n"/>
      <c r="E251">
        <f>IF(OR(C251="",D251=""),"",ROUND(MOD(D251-C251,1)*24,2))</f>
        <v/>
      </c>
      <c r="F251">
        <f>IF(C251="","",MAX(0,ROUND((C251-$J$1)*1440,0)))</f>
        <v/>
      </c>
      <c r="G251">
        <f>IF(E251="","",MAX(0,ROUND(E251-$J$2,2)))</f>
        <v/>
      </c>
    </row>
    <row r="252">
      <c r="B252" s="4" t="n"/>
      <c r="C252" s="3" t="n"/>
      <c r="D252" s="3" t="n"/>
      <c r="E252">
        <f>IF(OR(C252="",D252=""),"",ROUND(MOD(D252-C252,1)*24,2))</f>
        <v/>
      </c>
      <c r="F252">
        <f>IF(C252="","",MAX(0,ROUND((C252-$J$1)*1440,0)))</f>
        <v/>
      </c>
      <c r="G252">
        <f>IF(E252="","",MAX(0,ROUND(E252-$J$2,2)))</f>
        <v/>
      </c>
    </row>
    <row r="253">
      <c r="B253" s="4" t="n"/>
      <c r="C253" s="3" t="n"/>
      <c r="D253" s="3" t="n"/>
      <c r="E253">
        <f>IF(OR(C253="",D253=""),"",ROUND(MOD(D253-C253,1)*24,2))</f>
        <v/>
      </c>
      <c r="F253">
        <f>IF(C253="","",MAX(0,ROUND((C253-$J$1)*1440,0)))</f>
        <v/>
      </c>
      <c r="G253">
        <f>IF(E253="","",MAX(0,ROUND(E253-$J$2,2)))</f>
        <v/>
      </c>
    </row>
    <row r="254">
      <c r="B254" s="4" t="n"/>
      <c r="C254" s="3" t="n"/>
      <c r="D254" s="3" t="n"/>
      <c r="E254">
        <f>IF(OR(C254="",D254=""),"",ROUND(MOD(D254-C254,1)*24,2))</f>
        <v/>
      </c>
      <c r="F254">
        <f>IF(C254="","",MAX(0,ROUND((C254-$J$1)*1440,0)))</f>
        <v/>
      </c>
      <c r="G254">
        <f>IF(E254="","",MAX(0,ROUND(E254-$J$2,2)))</f>
        <v/>
      </c>
    </row>
    <row r="255">
      <c r="B255" s="4" t="n"/>
      <c r="C255" s="3" t="n"/>
      <c r="D255" s="3" t="n"/>
      <c r="E255">
        <f>IF(OR(C255="",D255=""),"",ROUND(MOD(D255-C255,1)*24,2))</f>
        <v/>
      </c>
      <c r="F255">
        <f>IF(C255="","",MAX(0,ROUND((C255-$J$1)*1440,0)))</f>
        <v/>
      </c>
      <c r="G255">
        <f>IF(E255="","",MAX(0,ROUND(E255-$J$2,2)))</f>
        <v/>
      </c>
    </row>
    <row r="256">
      <c r="B256" s="4" t="n"/>
      <c r="C256" s="3" t="n"/>
      <c r="D256" s="3" t="n"/>
      <c r="E256">
        <f>IF(OR(C256="",D256=""),"",ROUND(MOD(D256-C256,1)*24,2))</f>
        <v/>
      </c>
      <c r="F256">
        <f>IF(C256="","",MAX(0,ROUND((C256-$J$1)*1440,0)))</f>
        <v/>
      </c>
      <c r="G256">
        <f>IF(E256="","",MAX(0,ROUND(E256-$J$2,2)))</f>
        <v/>
      </c>
    </row>
    <row r="257">
      <c r="B257" s="4" t="n"/>
      <c r="C257" s="3" t="n"/>
      <c r="D257" s="3" t="n"/>
      <c r="E257">
        <f>IF(OR(C257="",D257=""),"",ROUND(MOD(D257-C257,1)*24,2))</f>
        <v/>
      </c>
      <c r="F257">
        <f>IF(C257="","",MAX(0,ROUND((C257-$J$1)*1440,0)))</f>
        <v/>
      </c>
      <c r="G257">
        <f>IF(E257="","",MAX(0,ROUND(E257-$J$2,2)))</f>
        <v/>
      </c>
    </row>
    <row r="258">
      <c r="B258" s="4" t="n"/>
      <c r="C258" s="3" t="n"/>
      <c r="D258" s="3" t="n"/>
      <c r="E258">
        <f>IF(OR(C258="",D258=""),"",ROUND(MOD(D258-C258,1)*24,2))</f>
        <v/>
      </c>
      <c r="F258">
        <f>IF(C258="","",MAX(0,ROUND((C258-$J$1)*1440,0)))</f>
        <v/>
      </c>
      <c r="G258">
        <f>IF(E258="","",MAX(0,ROUND(E258-$J$2,2)))</f>
        <v/>
      </c>
    </row>
    <row r="259">
      <c r="B259" s="4" t="n"/>
      <c r="C259" s="3" t="n"/>
      <c r="D259" s="3" t="n"/>
      <c r="E259">
        <f>IF(OR(C259="",D259=""),"",ROUND(MOD(D259-C259,1)*24,2))</f>
        <v/>
      </c>
      <c r="F259">
        <f>IF(C259="","",MAX(0,ROUND((C259-$J$1)*1440,0)))</f>
        <v/>
      </c>
      <c r="G259">
        <f>IF(E259="","",MAX(0,ROUND(E259-$J$2,2)))</f>
        <v/>
      </c>
    </row>
    <row r="260">
      <c r="B260" s="4" t="n"/>
      <c r="C260" s="3" t="n"/>
      <c r="D260" s="3" t="n"/>
      <c r="E260">
        <f>IF(OR(C260="",D260=""),"",ROUND(MOD(D260-C260,1)*24,2))</f>
        <v/>
      </c>
      <c r="F260">
        <f>IF(C260="","",MAX(0,ROUND((C260-$J$1)*1440,0)))</f>
        <v/>
      </c>
      <c r="G260">
        <f>IF(E260="","",MAX(0,ROUND(E260-$J$2,2)))</f>
        <v/>
      </c>
    </row>
    <row r="261">
      <c r="B261" s="4" t="n"/>
      <c r="C261" s="3" t="n"/>
      <c r="D261" s="3" t="n"/>
      <c r="E261">
        <f>IF(OR(C261="",D261=""),"",ROUND(MOD(D261-C261,1)*24,2))</f>
        <v/>
      </c>
      <c r="F261">
        <f>IF(C261="","",MAX(0,ROUND((C261-$J$1)*1440,0)))</f>
        <v/>
      </c>
      <c r="G261">
        <f>IF(E261="","",MAX(0,ROUND(E261-$J$2,2)))</f>
        <v/>
      </c>
    </row>
    <row r="262">
      <c r="B262" s="4" t="n"/>
      <c r="C262" s="3" t="n"/>
      <c r="D262" s="3" t="n"/>
      <c r="E262">
        <f>IF(OR(C262="",D262=""),"",ROUND(MOD(D262-C262,1)*24,2))</f>
        <v/>
      </c>
      <c r="F262">
        <f>IF(C262="","",MAX(0,ROUND((C262-$J$1)*1440,0)))</f>
        <v/>
      </c>
      <c r="G262">
        <f>IF(E262="","",MAX(0,ROUND(E262-$J$2,2)))</f>
        <v/>
      </c>
    </row>
    <row r="263">
      <c r="B263" s="4" t="n"/>
      <c r="C263" s="3" t="n"/>
      <c r="D263" s="3" t="n"/>
      <c r="E263">
        <f>IF(OR(C263="",D263=""),"",ROUND(MOD(D263-C263,1)*24,2))</f>
        <v/>
      </c>
      <c r="F263">
        <f>IF(C263="","",MAX(0,ROUND((C263-$J$1)*1440,0)))</f>
        <v/>
      </c>
      <c r="G263">
        <f>IF(E263="","",MAX(0,ROUND(E263-$J$2,2)))</f>
        <v/>
      </c>
    </row>
    <row r="264">
      <c r="B264" s="4" t="n"/>
      <c r="C264" s="3" t="n"/>
      <c r="D264" s="3" t="n"/>
      <c r="E264">
        <f>IF(OR(C264="",D264=""),"",ROUND(MOD(D264-C264,1)*24,2))</f>
        <v/>
      </c>
      <c r="F264">
        <f>IF(C264="","",MAX(0,ROUND((C264-$J$1)*1440,0)))</f>
        <v/>
      </c>
      <c r="G264">
        <f>IF(E264="","",MAX(0,ROUND(E264-$J$2,2)))</f>
        <v/>
      </c>
    </row>
    <row r="265">
      <c r="B265" s="4" t="n"/>
      <c r="C265" s="3" t="n"/>
      <c r="D265" s="3" t="n"/>
      <c r="E265">
        <f>IF(OR(C265="",D265=""),"",ROUND(MOD(D265-C265,1)*24,2))</f>
        <v/>
      </c>
      <c r="F265">
        <f>IF(C265="","",MAX(0,ROUND((C265-$J$1)*1440,0)))</f>
        <v/>
      </c>
      <c r="G265">
        <f>IF(E265="","",MAX(0,ROUND(E265-$J$2,2)))</f>
        <v/>
      </c>
    </row>
    <row r="266">
      <c r="B266" s="4" t="n"/>
      <c r="C266" s="3" t="n"/>
      <c r="D266" s="3" t="n"/>
      <c r="E266">
        <f>IF(OR(C266="",D266=""),"",ROUND(MOD(D266-C266,1)*24,2))</f>
        <v/>
      </c>
      <c r="F266">
        <f>IF(C266="","",MAX(0,ROUND((C266-$J$1)*1440,0)))</f>
        <v/>
      </c>
      <c r="G266">
        <f>IF(E266="","",MAX(0,ROUND(E266-$J$2,2)))</f>
        <v/>
      </c>
    </row>
    <row r="267">
      <c r="B267" s="4" t="n"/>
      <c r="C267" s="3" t="n"/>
      <c r="D267" s="3" t="n"/>
      <c r="E267">
        <f>IF(OR(C267="",D267=""),"",ROUND(MOD(D267-C267,1)*24,2))</f>
        <v/>
      </c>
      <c r="F267">
        <f>IF(C267="","",MAX(0,ROUND((C267-$J$1)*1440,0)))</f>
        <v/>
      </c>
      <c r="G267">
        <f>IF(E267="","",MAX(0,ROUND(E267-$J$2,2)))</f>
        <v/>
      </c>
    </row>
    <row r="268">
      <c r="B268" s="4" t="n"/>
      <c r="C268" s="3" t="n"/>
      <c r="D268" s="3" t="n"/>
      <c r="E268">
        <f>IF(OR(C268="",D268=""),"",ROUND(MOD(D268-C268,1)*24,2))</f>
        <v/>
      </c>
      <c r="F268">
        <f>IF(C268="","",MAX(0,ROUND((C268-$J$1)*1440,0)))</f>
        <v/>
      </c>
      <c r="G268">
        <f>IF(E268="","",MAX(0,ROUND(E268-$J$2,2)))</f>
        <v/>
      </c>
    </row>
    <row r="269">
      <c r="B269" s="4" t="n"/>
      <c r="C269" s="3" t="n"/>
      <c r="D269" s="3" t="n"/>
      <c r="E269">
        <f>IF(OR(C269="",D269=""),"",ROUND(MOD(D269-C269,1)*24,2))</f>
        <v/>
      </c>
      <c r="F269">
        <f>IF(C269="","",MAX(0,ROUND((C269-$J$1)*1440,0)))</f>
        <v/>
      </c>
      <c r="G269">
        <f>IF(E269="","",MAX(0,ROUND(E269-$J$2,2)))</f>
        <v/>
      </c>
    </row>
    <row r="270">
      <c r="B270" s="4" t="n"/>
      <c r="C270" s="3" t="n"/>
      <c r="D270" s="3" t="n"/>
      <c r="E270">
        <f>IF(OR(C270="",D270=""),"",ROUND(MOD(D270-C270,1)*24,2))</f>
        <v/>
      </c>
      <c r="F270">
        <f>IF(C270="","",MAX(0,ROUND((C270-$J$1)*1440,0)))</f>
        <v/>
      </c>
      <c r="G270">
        <f>IF(E270="","",MAX(0,ROUND(E270-$J$2,2)))</f>
        <v/>
      </c>
    </row>
    <row r="271">
      <c r="B271" s="4" t="n"/>
      <c r="C271" s="3" t="n"/>
      <c r="D271" s="3" t="n"/>
      <c r="E271">
        <f>IF(OR(C271="",D271=""),"",ROUND(MOD(D271-C271,1)*24,2))</f>
        <v/>
      </c>
      <c r="F271">
        <f>IF(C271="","",MAX(0,ROUND((C271-$J$1)*1440,0)))</f>
        <v/>
      </c>
      <c r="G271">
        <f>IF(E271="","",MAX(0,ROUND(E271-$J$2,2)))</f>
        <v/>
      </c>
    </row>
    <row r="272">
      <c r="B272" s="4" t="n"/>
      <c r="C272" s="3" t="n"/>
      <c r="D272" s="3" t="n"/>
      <c r="E272">
        <f>IF(OR(C272="",D272=""),"",ROUND(MOD(D272-C272,1)*24,2))</f>
        <v/>
      </c>
      <c r="F272">
        <f>IF(C272="","",MAX(0,ROUND((C272-$J$1)*1440,0)))</f>
        <v/>
      </c>
      <c r="G272">
        <f>IF(E272="","",MAX(0,ROUND(E272-$J$2,2)))</f>
        <v/>
      </c>
    </row>
    <row r="273">
      <c r="B273" s="4" t="n"/>
      <c r="C273" s="3" t="n"/>
      <c r="D273" s="3" t="n"/>
      <c r="E273">
        <f>IF(OR(C273="",D273=""),"",ROUND(MOD(D273-C273,1)*24,2))</f>
        <v/>
      </c>
      <c r="F273">
        <f>IF(C273="","",MAX(0,ROUND((C273-$J$1)*1440,0)))</f>
        <v/>
      </c>
      <c r="G273">
        <f>IF(E273="","",MAX(0,ROUND(E273-$J$2,2)))</f>
        <v/>
      </c>
    </row>
    <row r="274">
      <c r="B274" s="4" t="n"/>
      <c r="C274" s="3" t="n"/>
      <c r="D274" s="3" t="n"/>
      <c r="E274">
        <f>IF(OR(C274="",D274=""),"",ROUND(MOD(D274-C274,1)*24,2))</f>
        <v/>
      </c>
      <c r="F274">
        <f>IF(C274="","",MAX(0,ROUND((C274-$J$1)*1440,0)))</f>
        <v/>
      </c>
      <c r="G274">
        <f>IF(E274="","",MAX(0,ROUND(E274-$J$2,2)))</f>
        <v/>
      </c>
    </row>
    <row r="275">
      <c r="B275" s="4" t="n"/>
      <c r="C275" s="3" t="n"/>
      <c r="D275" s="3" t="n"/>
      <c r="E275">
        <f>IF(OR(C275="",D275=""),"",ROUND(MOD(D275-C275,1)*24,2))</f>
        <v/>
      </c>
      <c r="F275">
        <f>IF(C275="","",MAX(0,ROUND((C275-$J$1)*1440,0)))</f>
        <v/>
      </c>
      <c r="G275">
        <f>IF(E275="","",MAX(0,ROUND(E275-$J$2,2)))</f>
        <v/>
      </c>
    </row>
    <row r="276">
      <c r="B276" s="4" t="n"/>
      <c r="C276" s="3" t="n"/>
      <c r="D276" s="3" t="n"/>
      <c r="E276">
        <f>IF(OR(C276="",D276=""),"",ROUND(MOD(D276-C276,1)*24,2))</f>
        <v/>
      </c>
      <c r="F276">
        <f>IF(C276="","",MAX(0,ROUND((C276-$J$1)*1440,0)))</f>
        <v/>
      </c>
      <c r="G276">
        <f>IF(E276="","",MAX(0,ROUND(E276-$J$2,2)))</f>
        <v/>
      </c>
    </row>
    <row r="277">
      <c r="B277" s="4" t="n"/>
      <c r="C277" s="3" t="n"/>
      <c r="D277" s="3" t="n"/>
      <c r="E277">
        <f>IF(OR(C277="",D277=""),"",ROUND(MOD(D277-C277,1)*24,2))</f>
        <v/>
      </c>
      <c r="F277">
        <f>IF(C277="","",MAX(0,ROUND((C277-$J$1)*1440,0)))</f>
        <v/>
      </c>
      <c r="G277">
        <f>IF(E277="","",MAX(0,ROUND(E277-$J$2,2)))</f>
        <v/>
      </c>
    </row>
    <row r="278">
      <c r="B278" s="4" t="n"/>
      <c r="C278" s="3" t="n"/>
      <c r="D278" s="3" t="n"/>
      <c r="E278">
        <f>IF(OR(C278="",D278=""),"",ROUND(MOD(D278-C278,1)*24,2))</f>
        <v/>
      </c>
      <c r="F278">
        <f>IF(C278="","",MAX(0,ROUND((C278-$J$1)*1440,0)))</f>
        <v/>
      </c>
      <c r="G278">
        <f>IF(E278="","",MAX(0,ROUND(E278-$J$2,2)))</f>
        <v/>
      </c>
    </row>
    <row r="279">
      <c r="B279" s="4" t="n"/>
      <c r="C279" s="3" t="n"/>
      <c r="D279" s="3" t="n"/>
      <c r="E279">
        <f>IF(OR(C279="",D279=""),"",ROUND(MOD(D279-C279,1)*24,2))</f>
        <v/>
      </c>
      <c r="F279">
        <f>IF(C279="","",MAX(0,ROUND((C279-$J$1)*1440,0)))</f>
        <v/>
      </c>
      <c r="G279">
        <f>IF(E279="","",MAX(0,ROUND(E279-$J$2,2)))</f>
        <v/>
      </c>
    </row>
    <row r="280">
      <c r="B280" s="4" t="n"/>
      <c r="C280" s="3" t="n"/>
      <c r="D280" s="3" t="n"/>
      <c r="E280">
        <f>IF(OR(C280="",D280=""),"",ROUND(MOD(D280-C280,1)*24,2))</f>
        <v/>
      </c>
      <c r="F280">
        <f>IF(C280="","",MAX(0,ROUND((C280-$J$1)*1440,0)))</f>
        <v/>
      </c>
      <c r="G280">
        <f>IF(E280="","",MAX(0,ROUND(E280-$J$2,2)))</f>
        <v/>
      </c>
    </row>
    <row r="281">
      <c r="B281" s="4" t="n"/>
      <c r="C281" s="3" t="n"/>
      <c r="D281" s="3" t="n"/>
      <c r="E281">
        <f>IF(OR(C281="",D281=""),"",ROUND(MOD(D281-C281,1)*24,2))</f>
        <v/>
      </c>
      <c r="F281">
        <f>IF(C281="","",MAX(0,ROUND((C281-$J$1)*1440,0)))</f>
        <v/>
      </c>
      <c r="G281">
        <f>IF(E281="","",MAX(0,ROUND(E281-$J$2,2)))</f>
        <v/>
      </c>
    </row>
    <row r="282">
      <c r="B282" s="4" t="n"/>
      <c r="C282" s="3" t="n"/>
      <c r="D282" s="3" t="n"/>
      <c r="E282">
        <f>IF(OR(C282="",D282=""),"",ROUND(MOD(D282-C282,1)*24,2))</f>
        <v/>
      </c>
      <c r="F282">
        <f>IF(C282="","",MAX(0,ROUND((C282-$J$1)*1440,0)))</f>
        <v/>
      </c>
      <c r="G282">
        <f>IF(E282="","",MAX(0,ROUND(E282-$J$2,2)))</f>
        <v/>
      </c>
    </row>
    <row r="283">
      <c r="B283" s="4" t="n"/>
      <c r="C283" s="3" t="n"/>
      <c r="D283" s="3" t="n"/>
      <c r="E283">
        <f>IF(OR(C283="",D283=""),"",ROUND(MOD(D283-C283,1)*24,2))</f>
        <v/>
      </c>
      <c r="F283">
        <f>IF(C283="","",MAX(0,ROUND((C283-$J$1)*1440,0)))</f>
        <v/>
      </c>
      <c r="G283">
        <f>IF(E283="","",MAX(0,ROUND(E283-$J$2,2)))</f>
        <v/>
      </c>
    </row>
    <row r="284">
      <c r="B284" s="4" t="n"/>
      <c r="C284" s="3" t="n"/>
      <c r="D284" s="3" t="n"/>
      <c r="E284">
        <f>IF(OR(C284="",D284=""),"",ROUND(MOD(D284-C284,1)*24,2))</f>
        <v/>
      </c>
      <c r="F284">
        <f>IF(C284="","",MAX(0,ROUND((C284-$J$1)*1440,0)))</f>
        <v/>
      </c>
      <c r="G284">
        <f>IF(E284="","",MAX(0,ROUND(E284-$J$2,2)))</f>
        <v/>
      </c>
    </row>
    <row r="285">
      <c r="B285" s="4" t="n"/>
      <c r="C285" s="3" t="n"/>
      <c r="D285" s="3" t="n"/>
      <c r="E285">
        <f>IF(OR(C285="",D285=""),"",ROUND(MOD(D285-C285,1)*24,2))</f>
        <v/>
      </c>
      <c r="F285">
        <f>IF(C285="","",MAX(0,ROUND((C285-$J$1)*1440,0)))</f>
        <v/>
      </c>
      <c r="G285">
        <f>IF(E285="","",MAX(0,ROUND(E285-$J$2,2)))</f>
        <v/>
      </c>
    </row>
    <row r="286">
      <c r="B286" s="4" t="n"/>
      <c r="C286" s="3" t="n"/>
      <c r="D286" s="3" t="n"/>
      <c r="E286">
        <f>IF(OR(C286="",D286=""),"",ROUND(MOD(D286-C286,1)*24,2))</f>
        <v/>
      </c>
      <c r="F286">
        <f>IF(C286="","",MAX(0,ROUND((C286-$J$1)*1440,0)))</f>
        <v/>
      </c>
      <c r="G286">
        <f>IF(E286="","",MAX(0,ROUND(E286-$J$2,2)))</f>
        <v/>
      </c>
    </row>
    <row r="287">
      <c r="B287" s="4" t="n"/>
      <c r="C287" s="3" t="n"/>
      <c r="D287" s="3" t="n"/>
      <c r="E287">
        <f>IF(OR(C287="",D287=""),"",ROUND(MOD(D287-C287,1)*24,2))</f>
        <v/>
      </c>
      <c r="F287">
        <f>IF(C287="","",MAX(0,ROUND((C287-$J$1)*1440,0)))</f>
        <v/>
      </c>
      <c r="G287">
        <f>IF(E287="","",MAX(0,ROUND(E287-$J$2,2)))</f>
        <v/>
      </c>
    </row>
    <row r="288">
      <c r="B288" s="4" t="n"/>
      <c r="C288" s="3" t="n"/>
      <c r="D288" s="3" t="n"/>
      <c r="E288">
        <f>IF(OR(C288="",D288=""),"",ROUND(MOD(D288-C288,1)*24,2))</f>
        <v/>
      </c>
      <c r="F288">
        <f>IF(C288="","",MAX(0,ROUND((C288-$J$1)*1440,0)))</f>
        <v/>
      </c>
      <c r="G288">
        <f>IF(E288="","",MAX(0,ROUND(E288-$J$2,2)))</f>
        <v/>
      </c>
    </row>
    <row r="289">
      <c r="B289" s="4" t="n"/>
      <c r="C289" s="3" t="n"/>
      <c r="D289" s="3" t="n"/>
      <c r="E289">
        <f>IF(OR(C289="",D289=""),"",ROUND(MOD(D289-C289,1)*24,2))</f>
        <v/>
      </c>
      <c r="F289">
        <f>IF(C289="","",MAX(0,ROUND((C289-$J$1)*1440,0)))</f>
        <v/>
      </c>
      <c r="G289">
        <f>IF(E289="","",MAX(0,ROUND(E289-$J$2,2)))</f>
        <v/>
      </c>
    </row>
    <row r="290">
      <c r="B290" s="4" t="n"/>
      <c r="C290" s="3" t="n"/>
      <c r="D290" s="3" t="n"/>
      <c r="E290">
        <f>IF(OR(C290="",D290=""),"",ROUND(MOD(D290-C290,1)*24,2))</f>
        <v/>
      </c>
      <c r="F290">
        <f>IF(C290="","",MAX(0,ROUND((C290-$J$1)*1440,0)))</f>
        <v/>
      </c>
      <c r="G290">
        <f>IF(E290="","",MAX(0,ROUND(E290-$J$2,2)))</f>
        <v/>
      </c>
    </row>
    <row r="291">
      <c r="B291" s="4" t="n"/>
      <c r="C291" s="3" t="n"/>
      <c r="D291" s="3" t="n"/>
      <c r="E291">
        <f>IF(OR(C291="",D291=""),"",ROUND(MOD(D291-C291,1)*24,2))</f>
        <v/>
      </c>
      <c r="F291">
        <f>IF(C291="","",MAX(0,ROUND((C291-$J$1)*1440,0)))</f>
        <v/>
      </c>
      <c r="G291">
        <f>IF(E291="","",MAX(0,ROUND(E291-$J$2,2)))</f>
        <v/>
      </c>
    </row>
    <row r="292">
      <c r="B292" s="4" t="n"/>
      <c r="C292" s="3" t="n"/>
      <c r="D292" s="3" t="n"/>
      <c r="E292">
        <f>IF(OR(C292="",D292=""),"",ROUND(MOD(D292-C292,1)*24,2))</f>
        <v/>
      </c>
      <c r="F292">
        <f>IF(C292="","",MAX(0,ROUND((C292-$J$1)*1440,0)))</f>
        <v/>
      </c>
      <c r="G292">
        <f>IF(E292="","",MAX(0,ROUND(E292-$J$2,2)))</f>
        <v/>
      </c>
    </row>
    <row r="293">
      <c r="B293" s="4" t="n"/>
      <c r="C293" s="3" t="n"/>
      <c r="D293" s="3" t="n"/>
      <c r="E293">
        <f>IF(OR(C293="",D293=""),"",ROUND(MOD(D293-C293,1)*24,2))</f>
        <v/>
      </c>
      <c r="F293">
        <f>IF(C293="","",MAX(0,ROUND((C293-$J$1)*1440,0)))</f>
        <v/>
      </c>
      <c r="G293">
        <f>IF(E293="","",MAX(0,ROUND(E293-$J$2,2)))</f>
        <v/>
      </c>
    </row>
    <row r="294">
      <c r="B294" s="4" t="n"/>
      <c r="C294" s="3" t="n"/>
      <c r="D294" s="3" t="n"/>
      <c r="E294">
        <f>IF(OR(C294="",D294=""),"",ROUND(MOD(D294-C294,1)*24,2))</f>
        <v/>
      </c>
      <c r="F294">
        <f>IF(C294="","",MAX(0,ROUND((C294-$J$1)*1440,0)))</f>
        <v/>
      </c>
      <c r="G294">
        <f>IF(E294="","",MAX(0,ROUND(E294-$J$2,2)))</f>
        <v/>
      </c>
    </row>
    <row r="295">
      <c r="B295" s="4" t="n"/>
      <c r="C295" s="3" t="n"/>
      <c r="D295" s="3" t="n"/>
      <c r="E295">
        <f>IF(OR(C295="",D295=""),"",ROUND(MOD(D295-C295,1)*24,2))</f>
        <v/>
      </c>
      <c r="F295">
        <f>IF(C295="","",MAX(0,ROUND((C295-$J$1)*1440,0)))</f>
        <v/>
      </c>
      <c r="G295">
        <f>IF(E295="","",MAX(0,ROUND(E295-$J$2,2)))</f>
        <v/>
      </c>
    </row>
    <row r="296">
      <c r="B296" s="4" t="n"/>
      <c r="C296" s="3" t="n"/>
      <c r="D296" s="3" t="n"/>
      <c r="E296">
        <f>IF(OR(C296="",D296=""),"",ROUND(MOD(D296-C296,1)*24,2))</f>
        <v/>
      </c>
      <c r="F296">
        <f>IF(C296="","",MAX(0,ROUND((C296-$J$1)*1440,0)))</f>
        <v/>
      </c>
      <c r="G296">
        <f>IF(E296="","",MAX(0,ROUND(E296-$J$2,2)))</f>
        <v/>
      </c>
    </row>
    <row r="297">
      <c r="B297" s="4" t="n"/>
      <c r="C297" s="3" t="n"/>
      <c r="D297" s="3" t="n"/>
      <c r="E297">
        <f>IF(OR(C297="",D297=""),"",ROUND(MOD(D297-C297,1)*24,2))</f>
        <v/>
      </c>
      <c r="F297">
        <f>IF(C297="","",MAX(0,ROUND((C297-$J$1)*1440,0)))</f>
        <v/>
      </c>
      <c r="G297">
        <f>IF(E297="","",MAX(0,ROUND(E297-$J$2,2)))</f>
        <v/>
      </c>
    </row>
    <row r="298">
      <c r="B298" s="4" t="n"/>
      <c r="C298" s="3" t="n"/>
      <c r="D298" s="3" t="n"/>
      <c r="E298">
        <f>IF(OR(C298="",D298=""),"",ROUND(MOD(D298-C298,1)*24,2))</f>
        <v/>
      </c>
      <c r="F298">
        <f>IF(C298="","",MAX(0,ROUND((C298-$J$1)*1440,0)))</f>
        <v/>
      </c>
      <c r="G298">
        <f>IF(E298="","",MAX(0,ROUND(E298-$J$2,2)))</f>
        <v/>
      </c>
    </row>
    <row r="299">
      <c r="B299" s="4" t="n"/>
      <c r="C299" s="3" t="n"/>
      <c r="D299" s="3" t="n"/>
      <c r="E299">
        <f>IF(OR(C299="",D299=""),"",ROUND(MOD(D299-C299,1)*24,2))</f>
        <v/>
      </c>
      <c r="F299">
        <f>IF(C299="","",MAX(0,ROUND((C299-$J$1)*1440,0)))</f>
        <v/>
      </c>
      <c r="G299">
        <f>IF(E299="","",MAX(0,ROUND(E299-$J$2,2)))</f>
        <v/>
      </c>
    </row>
    <row r="300">
      <c r="B300" s="4" t="n"/>
      <c r="C300" s="3" t="n"/>
      <c r="D300" s="3" t="n"/>
      <c r="E300">
        <f>IF(OR(C300="",D300=""),"",ROUND(MOD(D300-C300,1)*24,2))</f>
        <v/>
      </c>
      <c r="F300">
        <f>IF(C300="","",MAX(0,ROUND((C300-$J$1)*1440,0)))</f>
        <v/>
      </c>
      <c r="G300">
        <f>IF(E300="","",MAX(0,ROUND(E300-$J$2,2)))</f>
        <v/>
      </c>
    </row>
  </sheetData>
  <conditionalFormatting sqref="F2:F300">
    <cfRule type="expression" priority="1" dxfId="0">
      <formula>AND(ISNUMBER(F2),F2&gt;0)</formula>
    </cfRule>
  </conditionalFormatting>
  <conditionalFormatting sqref="G2:G300">
    <cfRule type="expression" priority="2" dxfId="1">
      <formula>AND(ISNUMBER(G2),G2&gt;0)</formula>
    </cfRule>
  </conditionalFormatting>
  <dataValidations count="1">
    <dataValidation sqref="C2:D300" showDropDown="0" showInputMessage="0" showErrorMessage="0" allowBlank="1" type="time" operator="between">
      <formula1>0</formula1>
      <formula2>0.999988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5" customWidth="1" min="3" max="3"/>
    <col width="22" customWidth="1" min="4" max="4"/>
    <col width="22" customWidth="1" min="5" max="5"/>
  </cols>
  <sheetData>
    <row r="1">
      <c r="A1" s="1" t="inlineStr">
        <is>
          <t>الاسم</t>
        </is>
      </c>
      <c r="B1" s="1" t="inlineStr">
        <is>
          <t>أيام الحضور</t>
        </is>
      </c>
      <c r="C1" s="1" t="inlineStr">
        <is>
          <t>إجمالي الساعات</t>
        </is>
      </c>
      <c r="D1" s="1" t="inlineStr">
        <is>
          <t>إجمالي التأخير (دقيقة)</t>
        </is>
      </c>
      <c r="E1" s="1" t="inlineStr">
        <is>
          <t>إجمالي الإضافي (ساعة)</t>
        </is>
      </c>
    </row>
    <row r="2">
      <c r="A2" t="inlineStr">
        <is>
          <t>أحمد سالم</t>
        </is>
      </c>
      <c r="B2">
        <f>COUNTIF('الحضور'!$A:$A,A2)</f>
        <v/>
      </c>
      <c r="C2">
        <f>SUMIF('الحضور'!$A:$A,A2,'الحضور'!$E:$E)</f>
        <v/>
      </c>
      <c r="D2">
        <f>SUMIF('الحضور'!$A:$A,A2,'الحضور'!$F:$F)</f>
        <v/>
      </c>
      <c r="E2">
        <f>SUMIF('الحضور'!$A:$A,A2,'الحضور'!$G:$G)</f>
        <v/>
      </c>
    </row>
    <row r="3">
      <c r="A3" t="inlineStr">
        <is>
          <t>منى عادل</t>
        </is>
      </c>
      <c r="B3">
        <f>COUNTIF('الحضور'!$A:$A,A3)</f>
        <v/>
      </c>
      <c r="C3">
        <f>SUMIF('الحضور'!$A:$A,A3,'الحضور'!$E:$E)</f>
        <v/>
      </c>
      <c r="D3">
        <f>SUMIF('الحضور'!$A:$A,A3,'الحضور'!$F:$F)</f>
        <v/>
      </c>
      <c r="E3">
        <f>SUMIF('الحضور'!$A:$A,A3,'الحضور'!$G:$G)</f>
        <v/>
      </c>
    </row>
    <row r="4">
      <c r="A4" t="inlineStr">
        <is>
          <t>خالد حسن</t>
        </is>
      </c>
      <c r="B4">
        <f>COUNTIF('الحضور'!$A:$A,A4)</f>
        <v/>
      </c>
      <c r="C4">
        <f>SUMIF('الحضور'!$A:$A,A4,'الحضور'!$E:$E)</f>
        <v/>
      </c>
      <c r="D4">
        <f>SUMIF('الحضور'!$A:$A,A4,'الحضور'!$F:$F)</f>
        <v/>
      </c>
      <c r="E4">
        <f>SUMIF('الحضور'!$A:$A,A4,'الحضور'!$G:$G)</f>
        <v/>
      </c>
    </row>
    <row r="5">
      <c r="A5" t="inlineStr">
        <is>
          <t>سارة علي</t>
        </is>
      </c>
      <c r="B5">
        <f>COUNTIF('الحضور'!$A:$A,A5)</f>
        <v/>
      </c>
      <c r="C5">
        <f>SUMIF('الحضور'!$A:$A,A5,'الحضور'!$E:$E)</f>
        <v/>
      </c>
      <c r="D5">
        <f>SUMIF('الحضور'!$A:$A,A5,'الحضور'!$F:$F)</f>
        <v/>
      </c>
      <c r="E5">
        <f>SUMIF('الحضور'!$A:$A,A5,'الحضور'!$G:$G)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"/>
  <sheetViews>
    <sheetView rightToLeft="1" workbookViewId="0">
      <selection activeCell="A1" sqref="A1"/>
    </sheetView>
  </sheetViews>
  <sheetFormatPr baseColWidth="8" defaultRowHeight="15"/>
  <cols>
    <col width="95" customWidth="1" min="1" max="1"/>
  </cols>
  <sheetData>
    <row r="1">
      <c r="A1" t="inlineStr">
        <is>
          <t>1) اكتب في شيت «الحضور»: اسم الموظف والتاريخ ووقت الحضور والانصراف (مثال 09:15).</t>
        </is>
      </c>
    </row>
    <row r="2">
      <c r="A2" t="inlineStr">
        <is>
          <t>2) ساعات العمل والتأخير والإضافي بيتحسبوا لوحدهم. التأخير بيتلوّن أحمر والإضافي أخضر.</t>
        </is>
      </c>
    </row>
    <row r="3">
      <c r="A3" t="inlineStr">
        <is>
          <t>3) غيّر بداية الدوام وعدد ساعات اليوم من الخانتين J1 و J2.</t>
        </is>
      </c>
    </row>
    <row r="4">
      <c r="A4" t="inlineStr">
        <is>
          <t>4) شيت «الإجمالي»: اكتب أسماء الموظفين وهيطلعلك مجموع كل واحد في الشهر.</t>
        </is>
      </c>
    </row>
    <row r="5">
      <c r="A5" t="inlineStr">
        <is>
          <t>الوردية اللي بتعدّي نص الليل بتتحسب صح كمان.</t>
        </is>
      </c>
    </row>
    <row r="6">
      <c r="A6" t="inlineStr">
        <is>
          <t>من مكتبك الذكي Smart Office — تابع الصفحة عشان يوصلك ملف جديد مجاني كل يوم.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2026-10-30T06:11:25Z</dcterms:created>
  <dcterms:modified xsi:type="dcterms:W3CDTF">2026-10-30T06:11:25Z</dcterms:modified>
</cp:coreProperties>
</file>