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اتورة" sheetId="1" state="visible" r:id="rId1"/>
    <sheet name="الأصناف" sheetId="2" state="visible" r:id="rId2"/>
    <sheet name="ملخص" sheetId="3" state="visible" r:id="rId3"/>
    <sheet name="طريقة الاستخدام" sheetId="4" state="visible" r:id="rId4"/>
  </sheets>
  <definedNames>
    <definedName name="قائمة_الأصناف">'الأصناف'!$A$2:$A$100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الصنف</t>
        </is>
      </c>
      <c r="B1" s="1" t="inlineStr">
        <is>
          <t>الكمية</t>
        </is>
      </c>
      <c r="C1" s="1" t="inlineStr">
        <is>
          <t>سعر الوحدة</t>
        </is>
      </c>
      <c r="D1" s="1" t="inlineStr">
        <is>
          <t>الإجمالي</t>
        </is>
      </c>
      <c r="E1" s="1" t="inlineStr">
        <is>
          <t>الضريبة</t>
        </is>
      </c>
      <c r="F1" s="1" t="inlineStr">
        <is>
          <t>تنبيه</t>
        </is>
      </c>
    </row>
    <row r="2">
      <c r="A2" s="2" t="inlineStr">
        <is>
          <t>كرتونة مياه</t>
        </is>
      </c>
      <c r="B2" s="2" t="n">
        <v>3</v>
      </c>
      <c r="C2" s="3">
        <f>IF(A2="","",IFERROR(VLOOKUP(A2,'الأصناف'!$A$2:$B$100,2,FALSE),""))</f>
        <v/>
      </c>
      <c r="D2" s="3">
        <f>IF(OR(A2="",B2="",C2=""),"",B2*C2)</f>
        <v/>
      </c>
      <c r="E2" s="3">
        <f>IF(D2="","",D2*15%)</f>
        <v/>
      </c>
      <c r="F2" s="2">
        <f>IF(A2="","",IF(C2="","راجع الصنف",""))</f>
        <v/>
      </c>
    </row>
    <row r="3">
      <c r="A3" s="2" t="inlineStr">
        <is>
          <t>ورق تصوير A4</t>
        </is>
      </c>
      <c r="B3" s="2" t="n">
        <v>2</v>
      </c>
      <c r="C3" s="3">
        <f>IF(A3="","",IFERROR(VLOOKUP(A3,'الأصناف'!$A$2:$B$100,2,FALSE),""))</f>
        <v/>
      </c>
      <c r="D3" s="3">
        <f>IF(OR(A3="",B3="",C3=""),"",B3*C3)</f>
        <v/>
      </c>
      <c r="E3" s="3">
        <f>IF(D3="","",D3*15%)</f>
        <v/>
      </c>
      <c r="F3" s="2">
        <f>IF(A3="","",IF(C3="","راجع الصنف",""))</f>
        <v/>
      </c>
    </row>
    <row r="4">
      <c r="A4" s="2" t="inlineStr">
        <is>
          <t>حبر طابعة</t>
        </is>
      </c>
      <c r="B4" s="2" t="n">
        <v>1</v>
      </c>
      <c r="C4" s="3">
        <f>IF(A4="","",IFERROR(VLOOKUP(A4,'الأصناف'!$A$2:$B$100,2,FALSE),""))</f>
        <v/>
      </c>
      <c r="D4" s="3">
        <f>IF(OR(A4="",B4="",C4=""),"",B4*C4)</f>
        <v/>
      </c>
      <c r="E4" s="3">
        <f>IF(D4="","",D4*15%)</f>
        <v/>
      </c>
      <c r="F4" s="2">
        <f>IF(A4="","",IF(C4="","راجع الصنف",""))</f>
        <v/>
      </c>
    </row>
    <row r="5">
      <c r="A5" s="2" t="inlineStr">
        <is>
          <t>دفتر حسابات</t>
        </is>
      </c>
      <c r="B5" s="2" t="n">
        <v>4</v>
      </c>
      <c r="C5" s="3">
        <f>IF(A5="","",IFERROR(VLOOKUP(A5,'الأصناف'!$A$2:$B$100,2,FALSE),""))</f>
        <v/>
      </c>
      <c r="D5" s="3">
        <f>IF(OR(A5="",B5="",C5=""),"",B5*C5)</f>
        <v/>
      </c>
      <c r="E5" s="3">
        <f>IF(D5="","",D5*15%)</f>
        <v/>
      </c>
      <c r="F5" s="2">
        <f>IF(A5="","",IF(C5="","راجع الصنف",""))</f>
        <v/>
      </c>
    </row>
    <row r="6">
      <c r="A6" s="2" t="n"/>
      <c r="B6" s="2" t="n"/>
      <c r="C6" s="3">
        <f>IF(A6="","",IFERROR(VLOOKUP(A6,'الأصناف'!$A$2:$B$100,2,FALSE),""))</f>
        <v/>
      </c>
      <c r="D6" s="3">
        <f>IF(OR(A6="",B6="",C6=""),"",B6*C6)</f>
        <v/>
      </c>
      <c r="E6" s="3">
        <f>IF(D6="","",D6*15%)</f>
        <v/>
      </c>
      <c r="F6" s="2">
        <f>IF(A6="","",IF(C6="","راجع الصنف",""))</f>
        <v/>
      </c>
    </row>
    <row r="7">
      <c r="A7" s="2" t="n"/>
      <c r="B7" s="2" t="n"/>
      <c r="C7" s="3">
        <f>IF(A7="","",IFERROR(VLOOKUP(A7,'الأصناف'!$A$2:$B$100,2,FALSE),""))</f>
        <v/>
      </c>
      <c r="D7" s="3">
        <f>IF(OR(A7="",B7="",C7=""),"",B7*C7)</f>
        <v/>
      </c>
      <c r="E7" s="3">
        <f>IF(D7="","",D7*15%)</f>
        <v/>
      </c>
      <c r="F7" s="2">
        <f>IF(A7="","",IF(C7="","راجع الصنف",""))</f>
        <v/>
      </c>
    </row>
    <row r="8">
      <c r="A8" s="2" t="n"/>
      <c r="B8" s="2" t="n"/>
      <c r="C8" s="3">
        <f>IF(A8="","",IFERROR(VLOOKUP(A8,'الأصناف'!$A$2:$B$100,2,FALSE),""))</f>
        <v/>
      </c>
      <c r="D8" s="3">
        <f>IF(OR(A8="",B8="",C8=""),"",B8*C8)</f>
        <v/>
      </c>
      <c r="E8" s="3">
        <f>IF(D8="","",D8*15%)</f>
        <v/>
      </c>
      <c r="F8" s="2">
        <f>IF(A8="","",IF(C8="","راجع الصنف",""))</f>
        <v/>
      </c>
    </row>
    <row r="9">
      <c r="A9" s="2" t="n"/>
      <c r="B9" s="2" t="n"/>
      <c r="C9" s="3">
        <f>IF(A9="","",IFERROR(VLOOKUP(A9,'الأصناف'!$A$2:$B$100,2,FALSE),""))</f>
        <v/>
      </c>
      <c r="D9" s="3">
        <f>IF(OR(A9="",B9="",C9=""),"",B9*C9)</f>
        <v/>
      </c>
      <c r="E9" s="3">
        <f>IF(D9="","",D9*15%)</f>
        <v/>
      </c>
      <c r="F9" s="2">
        <f>IF(A9="","",IF(C9="","راجع الصنف",""))</f>
        <v/>
      </c>
    </row>
    <row r="10">
      <c r="A10" s="2" t="n"/>
      <c r="B10" s="2" t="n"/>
      <c r="C10" s="3">
        <f>IF(A10="","",IFERROR(VLOOKUP(A10,'الأصناف'!$A$2:$B$100,2,FALSE),""))</f>
        <v/>
      </c>
      <c r="D10" s="3">
        <f>IF(OR(A10="",B10="",C10=""),"",B10*C10)</f>
        <v/>
      </c>
      <c r="E10" s="3">
        <f>IF(D10="","",D10*15%)</f>
        <v/>
      </c>
      <c r="F10" s="2">
        <f>IF(A10="","",IF(C10="","راجع الصنف",""))</f>
        <v/>
      </c>
    </row>
    <row r="11">
      <c r="A11" s="2" t="n"/>
      <c r="B11" s="2" t="n"/>
      <c r="C11" s="3">
        <f>IF(A11="","",IFERROR(VLOOKUP(A11,'الأصناف'!$A$2:$B$100,2,FALSE),""))</f>
        <v/>
      </c>
      <c r="D11" s="3">
        <f>IF(OR(A11="",B11="",C11=""),"",B11*C11)</f>
        <v/>
      </c>
      <c r="E11" s="3">
        <f>IF(D11="","",D11*15%)</f>
        <v/>
      </c>
      <c r="F11" s="2">
        <f>IF(A11="","",IF(C11="","راجع الصنف",""))</f>
        <v/>
      </c>
    </row>
    <row r="12">
      <c r="A12" s="2" t="n"/>
      <c r="B12" s="2" t="n"/>
      <c r="C12" s="3">
        <f>IF(A12="","",IFERROR(VLOOKUP(A12,'الأصناف'!$A$2:$B$100,2,FALSE),""))</f>
        <v/>
      </c>
      <c r="D12" s="3">
        <f>IF(OR(A12="",B12="",C12=""),"",B12*C12)</f>
        <v/>
      </c>
      <c r="E12" s="3">
        <f>IF(D12="","",D12*15%)</f>
        <v/>
      </c>
      <c r="F12" s="2">
        <f>IF(A12="","",IF(C12="","راجع الصنف",""))</f>
        <v/>
      </c>
    </row>
    <row r="13">
      <c r="A13" s="2" t="n"/>
      <c r="B13" s="2" t="n"/>
      <c r="C13" s="3">
        <f>IF(A13="","",IFERROR(VLOOKUP(A13,'الأصناف'!$A$2:$B$100,2,FALSE),""))</f>
        <v/>
      </c>
      <c r="D13" s="3">
        <f>IF(OR(A13="",B13="",C13=""),"",B13*C13)</f>
        <v/>
      </c>
      <c r="E13" s="3">
        <f>IF(D13="","",D13*15%)</f>
        <v/>
      </c>
      <c r="F13" s="2">
        <f>IF(A13="","",IF(C13="","راجع الصنف",""))</f>
        <v/>
      </c>
    </row>
    <row r="14">
      <c r="A14" s="2" t="n"/>
      <c r="B14" s="2" t="n"/>
      <c r="C14" s="3">
        <f>IF(A14="","",IFERROR(VLOOKUP(A14,'الأصناف'!$A$2:$B$100,2,FALSE),""))</f>
        <v/>
      </c>
      <c r="D14" s="3">
        <f>IF(OR(A14="",B14="",C14=""),"",B14*C14)</f>
        <v/>
      </c>
      <c r="E14" s="3">
        <f>IF(D14="","",D14*15%)</f>
        <v/>
      </c>
      <c r="F14" s="2">
        <f>IF(A14="","",IF(C14="","راجع الصنف",""))</f>
        <v/>
      </c>
    </row>
    <row r="15">
      <c r="A15" s="2" t="n"/>
      <c r="B15" s="2" t="n"/>
      <c r="C15" s="3">
        <f>IF(A15="","",IFERROR(VLOOKUP(A15,'الأصناف'!$A$2:$B$100,2,FALSE),""))</f>
        <v/>
      </c>
      <c r="D15" s="3">
        <f>IF(OR(A15="",B15="",C15=""),"",B15*C15)</f>
        <v/>
      </c>
      <c r="E15" s="3">
        <f>IF(D15="","",D15*15%)</f>
        <v/>
      </c>
      <c r="F15" s="2">
        <f>IF(A15="","",IF(C15="","راجع الصنف",""))</f>
        <v/>
      </c>
    </row>
    <row r="16">
      <c r="A16" s="2" t="n"/>
      <c r="B16" s="2" t="n"/>
      <c r="C16" s="3">
        <f>IF(A16="","",IFERROR(VLOOKUP(A16,'الأصناف'!$A$2:$B$100,2,FALSE),""))</f>
        <v/>
      </c>
      <c r="D16" s="3">
        <f>IF(OR(A16="",B16="",C16=""),"",B16*C16)</f>
        <v/>
      </c>
      <c r="E16" s="3">
        <f>IF(D16="","",D16*15%)</f>
        <v/>
      </c>
      <c r="F16" s="2">
        <f>IF(A16="","",IF(C16="","راجع الصنف",""))</f>
        <v/>
      </c>
    </row>
    <row r="17">
      <c r="A17" s="2" t="n"/>
      <c r="B17" s="2" t="n"/>
      <c r="C17" s="3">
        <f>IF(A17="","",IFERROR(VLOOKUP(A17,'الأصناف'!$A$2:$B$100,2,FALSE),""))</f>
        <v/>
      </c>
      <c r="D17" s="3">
        <f>IF(OR(A17="",B17="",C17=""),"",B17*C17)</f>
        <v/>
      </c>
      <c r="E17" s="3">
        <f>IF(D17="","",D17*15%)</f>
        <v/>
      </c>
      <c r="F17" s="2">
        <f>IF(A17="","",IF(C17="","راجع الصنف",""))</f>
        <v/>
      </c>
    </row>
    <row r="18">
      <c r="A18" s="2" t="n"/>
      <c r="B18" s="2" t="n"/>
      <c r="C18" s="3">
        <f>IF(A18="","",IFERROR(VLOOKUP(A18,'الأصناف'!$A$2:$B$100,2,FALSE),""))</f>
        <v/>
      </c>
      <c r="D18" s="3">
        <f>IF(OR(A18="",B18="",C18=""),"",B18*C18)</f>
        <v/>
      </c>
      <c r="E18" s="3">
        <f>IF(D18="","",D18*15%)</f>
        <v/>
      </c>
      <c r="F18" s="2">
        <f>IF(A18="","",IF(C18="","راجع الصنف",""))</f>
        <v/>
      </c>
    </row>
    <row r="19">
      <c r="A19" s="2" t="n"/>
      <c r="B19" s="2" t="n"/>
      <c r="C19" s="3">
        <f>IF(A19="","",IFERROR(VLOOKUP(A19,'الأصناف'!$A$2:$B$100,2,FALSE),""))</f>
        <v/>
      </c>
      <c r="D19" s="3">
        <f>IF(OR(A19="",B19="",C19=""),"",B19*C19)</f>
        <v/>
      </c>
      <c r="E19" s="3">
        <f>IF(D19="","",D19*15%)</f>
        <v/>
      </c>
      <c r="F19" s="2">
        <f>IF(A19="","",IF(C19="","راجع الصنف",""))</f>
        <v/>
      </c>
    </row>
    <row r="20">
      <c r="A20" s="2" t="n"/>
      <c r="B20" s="2" t="n"/>
      <c r="C20" s="3">
        <f>IF(A20="","",IFERROR(VLOOKUP(A20,'الأصناف'!$A$2:$B$100,2,FALSE),""))</f>
        <v/>
      </c>
      <c r="D20" s="3">
        <f>IF(OR(A20="",B20="",C20=""),"",B20*C20)</f>
        <v/>
      </c>
      <c r="E20" s="3">
        <f>IF(D20="","",D20*15%)</f>
        <v/>
      </c>
      <c r="F20" s="2">
        <f>IF(A20="","",IF(C20="","راجع الصنف",""))</f>
        <v/>
      </c>
    </row>
    <row r="21">
      <c r="A21" s="2" t="n"/>
      <c r="B21" s="2" t="n"/>
      <c r="C21" s="3">
        <f>IF(A21="","",IFERROR(VLOOKUP(A21,'الأصناف'!$A$2:$B$100,2,FALSE),""))</f>
        <v/>
      </c>
      <c r="D21" s="3">
        <f>IF(OR(A21="",B21="",C21=""),"",B21*C21)</f>
        <v/>
      </c>
      <c r="E21" s="3">
        <f>IF(D21="","",D21*15%)</f>
        <v/>
      </c>
      <c r="F21" s="2">
        <f>IF(A21="","",IF(C21="","راجع الصنف",""))</f>
        <v/>
      </c>
    </row>
    <row r="22">
      <c r="A22" s="2" t="n"/>
      <c r="B22" s="2" t="n"/>
      <c r="C22" s="3">
        <f>IF(A22="","",IFERROR(VLOOKUP(A22,'الأصناف'!$A$2:$B$100,2,FALSE),""))</f>
        <v/>
      </c>
      <c r="D22" s="3">
        <f>IF(OR(A22="",B22="",C22=""),"",B22*C22)</f>
        <v/>
      </c>
      <c r="E22" s="3">
        <f>IF(D22="","",D22*15%)</f>
        <v/>
      </c>
      <c r="F22" s="2">
        <f>IF(A22="","",IF(C22="","راجع الصنف",""))</f>
        <v/>
      </c>
    </row>
    <row r="23">
      <c r="A23" s="2" t="n"/>
      <c r="B23" s="2" t="n"/>
      <c r="C23" s="3">
        <f>IF(A23="","",IFERROR(VLOOKUP(A23,'الأصناف'!$A$2:$B$100,2,FALSE),""))</f>
        <v/>
      </c>
      <c r="D23" s="3">
        <f>IF(OR(A23="",B23="",C23=""),"",B23*C23)</f>
        <v/>
      </c>
      <c r="E23" s="3">
        <f>IF(D23="","",D23*15%)</f>
        <v/>
      </c>
      <c r="F23" s="2">
        <f>IF(A23="","",IF(C23="","راجع الصنف",""))</f>
        <v/>
      </c>
    </row>
    <row r="24">
      <c r="A24" s="2" t="n"/>
      <c r="B24" s="2" t="n"/>
      <c r="C24" s="3">
        <f>IF(A24="","",IFERROR(VLOOKUP(A24,'الأصناف'!$A$2:$B$100,2,FALSE),""))</f>
        <v/>
      </c>
      <c r="D24" s="3">
        <f>IF(OR(A24="",B24="",C24=""),"",B24*C24)</f>
        <v/>
      </c>
      <c r="E24" s="3">
        <f>IF(D24="","",D24*15%)</f>
        <v/>
      </c>
      <c r="F24" s="2">
        <f>IF(A24="","",IF(C24="","راجع الصنف",""))</f>
        <v/>
      </c>
    </row>
    <row r="25">
      <c r="A25" s="2" t="n"/>
      <c r="B25" s="2" t="n"/>
      <c r="C25" s="3">
        <f>IF(A25="","",IFERROR(VLOOKUP(A25,'الأصناف'!$A$2:$B$100,2,FALSE),""))</f>
        <v/>
      </c>
      <c r="D25" s="3">
        <f>IF(OR(A25="",B25="",C25=""),"",B25*C25)</f>
        <v/>
      </c>
      <c r="E25" s="3">
        <f>IF(D25="","",D25*15%)</f>
        <v/>
      </c>
      <c r="F25" s="2">
        <f>IF(A25="","",IF(C25="","راجع الصنف",""))</f>
        <v/>
      </c>
    </row>
    <row r="26">
      <c r="A26" s="2" t="n"/>
      <c r="B26" s="2" t="n"/>
      <c r="C26" s="3">
        <f>IF(A26="","",IFERROR(VLOOKUP(A26,'الأصناف'!$A$2:$B$100,2,FALSE),""))</f>
        <v/>
      </c>
      <c r="D26" s="3">
        <f>IF(OR(A26="",B26="",C26=""),"",B26*C26)</f>
        <v/>
      </c>
      <c r="E26" s="3">
        <f>IF(D26="","",D26*15%)</f>
        <v/>
      </c>
      <c r="F26" s="2">
        <f>IF(A26="","",IF(C26="","راجع الصنف",""))</f>
        <v/>
      </c>
    </row>
    <row r="27">
      <c r="A27" s="2" t="n"/>
      <c r="B27" s="2" t="n"/>
      <c r="C27" s="3">
        <f>IF(A27="","",IFERROR(VLOOKUP(A27,'الأصناف'!$A$2:$B$100,2,FALSE),""))</f>
        <v/>
      </c>
      <c r="D27" s="3">
        <f>IF(OR(A27="",B27="",C27=""),"",B27*C27)</f>
        <v/>
      </c>
      <c r="E27" s="3">
        <f>IF(D27="","",D27*15%)</f>
        <v/>
      </c>
      <c r="F27" s="2">
        <f>IF(A27="","",IF(C27="","راجع الصنف",""))</f>
        <v/>
      </c>
    </row>
    <row r="28">
      <c r="A28" s="2" t="n"/>
      <c r="B28" s="2" t="n"/>
      <c r="C28" s="3">
        <f>IF(A28="","",IFERROR(VLOOKUP(A28,'الأصناف'!$A$2:$B$100,2,FALSE),""))</f>
        <v/>
      </c>
      <c r="D28" s="3">
        <f>IF(OR(A28="",B28="",C28=""),"",B28*C28)</f>
        <v/>
      </c>
      <c r="E28" s="3">
        <f>IF(D28="","",D28*15%)</f>
        <v/>
      </c>
      <c r="F28" s="2">
        <f>IF(A28="","",IF(C28="","راجع الصنف",""))</f>
        <v/>
      </c>
    </row>
    <row r="29">
      <c r="A29" s="2" t="n"/>
      <c r="B29" s="2" t="n"/>
      <c r="C29" s="3">
        <f>IF(A29="","",IFERROR(VLOOKUP(A29,'الأصناف'!$A$2:$B$100,2,FALSE),""))</f>
        <v/>
      </c>
      <c r="D29" s="3">
        <f>IF(OR(A29="",B29="",C29=""),"",B29*C29)</f>
        <v/>
      </c>
      <c r="E29" s="3">
        <f>IF(D29="","",D29*15%)</f>
        <v/>
      </c>
      <c r="F29" s="2">
        <f>IF(A29="","",IF(C29="","راجع الصنف",""))</f>
        <v/>
      </c>
    </row>
    <row r="30">
      <c r="A30" s="2" t="n"/>
      <c r="B30" s="2" t="n"/>
      <c r="C30" s="3">
        <f>IF(A30="","",IFERROR(VLOOKUP(A30,'الأصناف'!$A$2:$B$100,2,FALSE),""))</f>
        <v/>
      </c>
      <c r="D30" s="3">
        <f>IF(OR(A30="",B30="",C30=""),"",B30*C30)</f>
        <v/>
      </c>
      <c r="E30" s="3">
        <f>IF(D30="","",D30*15%)</f>
        <v/>
      </c>
      <c r="F30" s="2">
        <f>IF(A30="","",IF(C30="","راجع الصنف",""))</f>
        <v/>
      </c>
    </row>
    <row r="31">
      <c r="A31" s="2" t="n"/>
      <c r="B31" s="2" t="n"/>
      <c r="C31" s="3">
        <f>IF(A31="","",IFERROR(VLOOKUP(A31,'الأصناف'!$A$2:$B$100,2,FALSE),""))</f>
        <v/>
      </c>
      <c r="D31" s="3">
        <f>IF(OR(A31="",B31="",C31=""),"",B31*C31)</f>
        <v/>
      </c>
      <c r="E31" s="3">
        <f>IF(D31="","",D31*15%)</f>
        <v/>
      </c>
      <c r="F31" s="2">
        <f>IF(A31="","",IF(C31="","راجع الصنف",""))</f>
        <v/>
      </c>
    </row>
    <row r="32">
      <c r="A32" s="2" t="n"/>
      <c r="B32" s="2" t="n"/>
      <c r="C32" s="3">
        <f>IF(A32="","",IFERROR(VLOOKUP(A32,'الأصناف'!$A$2:$B$100,2,FALSE),""))</f>
        <v/>
      </c>
      <c r="D32" s="3">
        <f>IF(OR(A32="",B32="",C32=""),"",B32*C32)</f>
        <v/>
      </c>
      <c r="E32" s="3">
        <f>IF(D32="","",D32*15%)</f>
        <v/>
      </c>
      <c r="F32" s="2">
        <f>IF(A32="","",IF(C32="","راجع الصنف",""))</f>
        <v/>
      </c>
    </row>
    <row r="33">
      <c r="A33" s="2" t="n"/>
      <c r="B33" s="2" t="n"/>
      <c r="C33" s="3">
        <f>IF(A33="","",IFERROR(VLOOKUP(A33,'الأصناف'!$A$2:$B$100,2,FALSE),""))</f>
        <v/>
      </c>
      <c r="D33" s="3">
        <f>IF(OR(A33="",B33="",C33=""),"",B33*C33)</f>
        <v/>
      </c>
      <c r="E33" s="3">
        <f>IF(D33="","",D33*15%)</f>
        <v/>
      </c>
      <c r="F33" s="2">
        <f>IF(A33="","",IF(C33="","راجع الصنف",""))</f>
        <v/>
      </c>
    </row>
    <row r="34">
      <c r="A34" s="2" t="n"/>
      <c r="B34" s="2" t="n"/>
      <c r="C34" s="3">
        <f>IF(A34="","",IFERROR(VLOOKUP(A34,'الأصناف'!$A$2:$B$100,2,FALSE),""))</f>
        <v/>
      </c>
      <c r="D34" s="3">
        <f>IF(OR(A34="",B34="",C34=""),"",B34*C34)</f>
        <v/>
      </c>
      <c r="E34" s="3">
        <f>IF(D34="","",D34*15%)</f>
        <v/>
      </c>
      <c r="F34" s="2">
        <f>IF(A34="","",IF(C34="","راجع الصنف",""))</f>
        <v/>
      </c>
    </row>
    <row r="35">
      <c r="A35" s="2" t="n"/>
      <c r="B35" s="2" t="n"/>
      <c r="C35" s="3">
        <f>IF(A35="","",IFERROR(VLOOKUP(A35,'الأصناف'!$A$2:$B$100,2,FALSE),""))</f>
        <v/>
      </c>
      <c r="D35" s="3">
        <f>IF(OR(A35="",B35="",C35=""),"",B35*C35)</f>
        <v/>
      </c>
      <c r="E35" s="3">
        <f>IF(D35="","",D35*15%)</f>
        <v/>
      </c>
      <c r="F35" s="2">
        <f>IF(A35="","",IF(C35="","راجع الصنف",""))</f>
        <v/>
      </c>
    </row>
    <row r="36">
      <c r="A36" s="2" t="n"/>
      <c r="B36" s="2" t="n"/>
      <c r="C36" s="3">
        <f>IF(A36="","",IFERROR(VLOOKUP(A36,'الأصناف'!$A$2:$B$100,2,FALSE),""))</f>
        <v/>
      </c>
      <c r="D36" s="3">
        <f>IF(OR(A36="",B36="",C36=""),"",B36*C36)</f>
        <v/>
      </c>
      <c r="E36" s="3">
        <f>IF(D36="","",D36*15%)</f>
        <v/>
      </c>
      <c r="F36" s="2">
        <f>IF(A36="","",IF(C36="","راجع الصنف",""))</f>
        <v/>
      </c>
    </row>
    <row r="37">
      <c r="A37" s="2" t="n"/>
      <c r="B37" s="2" t="n"/>
      <c r="C37" s="3">
        <f>IF(A37="","",IFERROR(VLOOKUP(A37,'الأصناف'!$A$2:$B$100,2,FALSE),""))</f>
        <v/>
      </c>
      <c r="D37" s="3">
        <f>IF(OR(A37="",B37="",C37=""),"",B37*C37)</f>
        <v/>
      </c>
      <c r="E37" s="3">
        <f>IF(D37="","",D37*15%)</f>
        <v/>
      </c>
      <c r="F37" s="2">
        <f>IF(A37="","",IF(C37="","راجع الصنف",""))</f>
        <v/>
      </c>
    </row>
    <row r="38">
      <c r="A38" s="2" t="n"/>
      <c r="B38" s="2" t="n"/>
      <c r="C38" s="3">
        <f>IF(A38="","",IFERROR(VLOOKUP(A38,'الأصناف'!$A$2:$B$100,2,FALSE),""))</f>
        <v/>
      </c>
      <c r="D38" s="3">
        <f>IF(OR(A38="",B38="",C38=""),"",B38*C38)</f>
        <v/>
      </c>
      <c r="E38" s="3">
        <f>IF(D38="","",D38*15%)</f>
        <v/>
      </c>
      <c r="F38" s="2">
        <f>IF(A38="","",IF(C38="","راجع الصنف",""))</f>
        <v/>
      </c>
    </row>
    <row r="39">
      <c r="A39" s="2" t="n"/>
      <c r="B39" s="2" t="n"/>
      <c r="C39" s="3">
        <f>IF(A39="","",IFERROR(VLOOKUP(A39,'الأصناف'!$A$2:$B$100,2,FALSE),""))</f>
        <v/>
      </c>
      <c r="D39" s="3">
        <f>IF(OR(A39="",B39="",C39=""),"",B39*C39)</f>
        <v/>
      </c>
      <c r="E39" s="3">
        <f>IF(D39="","",D39*15%)</f>
        <v/>
      </c>
      <c r="F39" s="2">
        <f>IF(A39="","",IF(C39="","راجع الصنف",""))</f>
        <v/>
      </c>
    </row>
    <row r="40">
      <c r="A40" s="2" t="n"/>
      <c r="B40" s="2" t="n"/>
      <c r="C40" s="3">
        <f>IF(A40="","",IFERROR(VLOOKUP(A40,'الأصناف'!$A$2:$B$100,2,FALSE),""))</f>
        <v/>
      </c>
      <c r="D40" s="3">
        <f>IF(OR(A40="",B40="",C40=""),"",B40*C40)</f>
        <v/>
      </c>
      <c r="E40" s="3">
        <f>IF(D40="","",D40*15%)</f>
        <v/>
      </c>
      <c r="F40" s="2">
        <f>IF(A40="","",IF(C40="","راجع الصنف",""))</f>
        <v/>
      </c>
    </row>
    <row r="41">
      <c r="A41" s="2" t="n"/>
      <c r="B41" s="2" t="n"/>
      <c r="C41" s="3">
        <f>IF(A41="","",IFERROR(VLOOKUP(A41,'الأصناف'!$A$2:$B$100,2,FALSE),""))</f>
        <v/>
      </c>
      <c r="D41" s="3">
        <f>IF(OR(A41="",B41="",C41=""),"",B41*C41)</f>
        <v/>
      </c>
      <c r="E41" s="3">
        <f>IF(D41="","",D41*15%)</f>
        <v/>
      </c>
      <c r="F41" s="2">
        <f>IF(A41="","",IF(C41="","راجع الصنف",""))</f>
        <v/>
      </c>
    </row>
    <row r="42">
      <c r="A42" s="2" t="n"/>
      <c r="B42" s="2" t="n"/>
      <c r="C42" s="3">
        <f>IF(A42="","",IFERROR(VLOOKUP(A42,'الأصناف'!$A$2:$B$100,2,FALSE),""))</f>
        <v/>
      </c>
      <c r="D42" s="3">
        <f>IF(OR(A42="",B42="",C42=""),"",B42*C42)</f>
        <v/>
      </c>
      <c r="E42" s="3">
        <f>IF(D42="","",D42*15%)</f>
        <v/>
      </c>
      <c r="F42" s="2">
        <f>IF(A42="","",IF(C42="","راجع الصنف",""))</f>
        <v/>
      </c>
    </row>
    <row r="43">
      <c r="A43" s="2" t="n"/>
      <c r="B43" s="2" t="n"/>
      <c r="C43" s="3">
        <f>IF(A43="","",IFERROR(VLOOKUP(A43,'الأصناف'!$A$2:$B$100,2,FALSE),""))</f>
        <v/>
      </c>
      <c r="D43" s="3">
        <f>IF(OR(A43="",B43="",C43=""),"",B43*C43)</f>
        <v/>
      </c>
      <c r="E43" s="3">
        <f>IF(D43="","",D43*15%)</f>
        <v/>
      </c>
      <c r="F43" s="2">
        <f>IF(A43="","",IF(C43="","راجع الصنف",""))</f>
        <v/>
      </c>
    </row>
    <row r="44">
      <c r="A44" s="2" t="n"/>
      <c r="B44" s="2" t="n"/>
      <c r="C44" s="3">
        <f>IF(A44="","",IFERROR(VLOOKUP(A44,'الأصناف'!$A$2:$B$100,2,FALSE),""))</f>
        <v/>
      </c>
      <c r="D44" s="3">
        <f>IF(OR(A44="",B44="",C44=""),"",B44*C44)</f>
        <v/>
      </c>
      <c r="E44" s="3">
        <f>IF(D44="","",D44*15%)</f>
        <v/>
      </c>
      <c r="F44" s="2">
        <f>IF(A44="","",IF(C44="","راجع الصنف",""))</f>
        <v/>
      </c>
    </row>
    <row r="45">
      <c r="A45" s="2" t="n"/>
      <c r="B45" s="2" t="n"/>
      <c r="C45" s="3">
        <f>IF(A45="","",IFERROR(VLOOKUP(A45,'الأصناف'!$A$2:$B$100,2,FALSE),""))</f>
        <v/>
      </c>
      <c r="D45" s="3">
        <f>IF(OR(A45="",B45="",C45=""),"",B45*C45)</f>
        <v/>
      </c>
      <c r="E45" s="3">
        <f>IF(D45="","",D45*15%)</f>
        <v/>
      </c>
      <c r="F45" s="2">
        <f>IF(A45="","",IF(C45="","راجع الصنف",""))</f>
        <v/>
      </c>
    </row>
    <row r="46">
      <c r="A46" s="2" t="n"/>
      <c r="B46" s="2" t="n"/>
      <c r="C46" s="3">
        <f>IF(A46="","",IFERROR(VLOOKUP(A46,'الأصناف'!$A$2:$B$100,2,FALSE),""))</f>
        <v/>
      </c>
      <c r="D46" s="3">
        <f>IF(OR(A46="",B46="",C46=""),"",B46*C46)</f>
        <v/>
      </c>
      <c r="E46" s="3">
        <f>IF(D46="","",D46*15%)</f>
        <v/>
      </c>
      <c r="F46" s="2">
        <f>IF(A46="","",IF(C46="","راجع الصنف",""))</f>
        <v/>
      </c>
    </row>
    <row r="47">
      <c r="A47" s="2" t="n"/>
      <c r="B47" s="2" t="n"/>
      <c r="C47" s="3">
        <f>IF(A47="","",IFERROR(VLOOKUP(A47,'الأصناف'!$A$2:$B$100,2,FALSE),""))</f>
        <v/>
      </c>
      <c r="D47" s="3">
        <f>IF(OR(A47="",B47="",C47=""),"",B47*C47)</f>
        <v/>
      </c>
      <c r="E47" s="3">
        <f>IF(D47="","",D47*15%)</f>
        <v/>
      </c>
      <c r="F47" s="2">
        <f>IF(A47="","",IF(C47="","راجع الصنف",""))</f>
        <v/>
      </c>
    </row>
    <row r="48">
      <c r="A48" s="2" t="n"/>
      <c r="B48" s="2" t="n"/>
      <c r="C48" s="3">
        <f>IF(A48="","",IFERROR(VLOOKUP(A48,'الأصناف'!$A$2:$B$100,2,FALSE),""))</f>
        <v/>
      </c>
      <c r="D48" s="3">
        <f>IF(OR(A48="",B48="",C48=""),"",B48*C48)</f>
        <v/>
      </c>
      <c r="E48" s="3">
        <f>IF(D48="","",D48*15%)</f>
        <v/>
      </c>
      <c r="F48" s="2">
        <f>IF(A48="","",IF(C48="","راجع الصنف",""))</f>
        <v/>
      </c>
    </row>
    <row r="49">
      <c r="A49" s="2" t="n"/>
      <c r="B49" s="2" t="n"/>
      <c r="C49" s="3">
        <f>IF(A49="","",IFERROR(VLOOKUP(A49,'الأصناف'!$A$2:$B$100,2,FALSE),""))</f>
        <v/>
      </c>
      <c r="D49" s="3">
        <f>IF(OR(A49="",B49="",C49=""),"",B49*C49)</f>
        <v/>
      </c>
      <c r="E49" s="3">
        <f>IF(D49="","",D49*15%)</f>
        <v/>
      </c>
      <c r="F49" s="2">
        <f>IF(A49="","",IF(C49="","راجع الصنف",""))</f>
        <v/>
      </c>
    </row>
    <row r="50">
      <c r="A50" s="2" t="n"/>
      <c r="B50" s="2" t="n"/>
      <c r="C50" s="3">
        <f>IF(A50="","",IFERROR(VLOOKUP(A50,'الأصناف'!$A$2:$B$100,2,FALSE),""))</f>
        <v/>
      </c>
      <c r="D50" s="3">
        <f>IF(OR(A50="",B50="",C50=""),"",B50*C50)</f>
        <v/>
      </c>
      <c r="E50" s="3">
        <f>IF(D50="","",D50*15%)</f>
        <v/>
      </c>
      <c r="F50" s="2">
        <f>IF(A50="","",IF(C50="","راجع الصنف",""))</f>
        <v/>
      </c>
    </row>
    <row r="51">
      <c r="A51" s="2" t="n"/>
      <c r="B51" s="2" t="n"/>
      <c r="C51" s="3">
        <f>IF(A51="","",IFERROR(VLOOKUP(A51,'الأصناف'!$A$2:$B$100,2,FALSE),""))</f>
        <v/>
      </c>
      <c r="D51" s="3">
        <f>IF(OR(A51="",B51="",C51=""),"",B51*C51)</f>
        <v/>
      </c>
      <c r="E51" s="3">
        <f>IF(D51="","",D51*15%)</f>
        <v/>
      </c>
      <c r="F51" s="2">
        <f>IF(A51="","",IF(C51="","راجع الصنف",""))</f>
        <v/>
      </c>
    </row>
    <row r="52">
      <c r="A52" s="2" t="n"/>
      <c r="B52" s="2" t="n"/>
      <c r="C52" s="3">
        <f>IF(A52="","",IFERROR(VLOOKUP(A52,'الأصناف'!$A$2:$B$100,2,FALSE),""))</f>
        <v/>
      </c>
      <c r="D52" s="3">
        <f>IF(OR(A52="",B52="",C52=""),"",B52*C52)</f>
        <v/>
      </c>
      <c r="E52" s="3">
        <f>IF(D52="","",D52*15%)</f>
        <v/>
      </c>
      <c r="F52" s="2">
        <f>IF(A52="","",IF(C52="","راجع الصنف",""))</f>
        <v/>
      </c>
    </row>
    <row r="53">
      <c r="A53" s="2" t="n"/>
      <c r="B53" s="2" t="n"/>
      <c r="C53" s="3">
        <f>IF(A53="","",IFERROR(VLOOKUP(A53,'الأصناف'!$A$2:$B$100,2,FALSE),""))</f>
        <v/>
      </c>
      <c r="D53" s="3">
        <f>IF(OR(A53="",B53="",C53=""),"",B53*C53)</f>
        <v/>
      </c>
      <c r="E53" s="3">
        <f>IF(D53="","",D53*15%)</f>
        <v/>
      </c>
      <c r="F53" s="2">
        <f>IF(A53="","",IF(C53="","راجع الصنف",""))</f>
        <v/>
      </c>
    </row>
    <row r="54">
      <c r="A54" s="2" t="n"/>
      <c r="B54" s="2" t="n"/>
      <c r="C54" s="3">
        <f>IF(A54="","",IFERROR(VLOOKUP(A54,'الأصناف'!$A$2:$B$100,2,FALSE),""))</f>
        <v/>
      </c>
      <c r="D54" s="3">
        <f>IF(OR(A54="",B54="",C54=""),"",B54*C54)</f>
        <v/>
      </c>
      <c r="E54" s="3">
        <f>IF(D54="","",D54*15%)</f>
        <v/>
      </c>
      <c r="F54" s="2">
        <f>IF(A54="","",IF(C54="","راجع الصنف",""))</f>
        <v/>
      </c>
    </row>
    <row r="55">
      <c r="A55" s="2" t="n"/>
      <c r="B55" s="2" t="n"/>
      <c r="C55" s="3">
        <f>IF(A55="","",IFERROR(VLOOKUP(A55,'الأصناف'!$A$2:$B$100,2,FALSE),""))</f>
        <v/>
      </c>
      <c r="D55" s="3">
        <f>IF(OR(A55="",B55="",C55=""),"",B55*C55)</f>
        <v/>
      </c>
      <c r="E55" s="3">
        <f>IF(D55="","",D55*15%)</f>
        <v/>
      </c>
      <c r="F55" s="2">
        <f>IF(A55="","",IF(C55="","راجع الصنف",""))</f>
        <v/>
      </c>
    </row>
    <row r="56">
      <c r="A56" s="2" t="n"/>
      <c r="B56" s="2" t="n"/>
      <c r="C56" s="3">
        <f>IF(A56="","",IFERROR(VLOOKUP(A56,'الأصناف'!$A$2:$B$100,2,FALSE),""))</f>
        <v/>
      </c>
      <c r="D56" s="3">
        <f>IF(OR(A56="",B56="",C56=""),"",B56*C56)</f>
        <v/>
      </c>
      <c r="E56" s="3">
        <f>IF(D56="","",D56*15%)</f>
        <v/>
      </c>
      <c r="F56" s="2">
        <f>IF(A56="","",IF(C56="","راجع الصنف",""))</f>
        <v/>
      </c>
    </row>
    <row r="57">
      <c r="A57" s="2" t="n"/>
      <c r="B57" s="2" t="n"/>
      <c r="C57" s="3">
        <f>IF(A57="","",IFERROR(VLOOKUP(A57,'الأصناف'!$A$2:$B$100,2,FALSE),""))</f>
        <v/>
      </c>
      <c r="D57" s="3">
        <f>IF(OR(A57="",B57="",C57=""),"",B57*C57)</f>
        <v/>
      </c>
      <c r="E57" s="3">
        <f>IF(D57="","",D57*15%)</f>
        <v/>
      </c>
      <c r="F57" s="2">
        <f>IF(A57="","",IF(C57="","راجع الصنف",""))</f>
        <v/>
      </c>
    </row>
    <row r="58">
      <c r="A58" s="2" t="n"/>
      <c r="B58" s="2" t="n"/>
      <c r="C58" s="3">
        <f>IF(A58="","",IFERROR(VLOOKUP(A58,'الأصناف'!$A$2:$B$100,2,FALSE),""))</f>
        <v/>
      </c>
      <c r="D58" s="3">
        <f>IF(OR(A58="",B58="",C58=""),"",B58*C58)</f>
        <v/>
      </c>
      <c r="E58" s="3">
        <f>IF(D58="","",D58*15%)</f>
        <v/>
      </c>
      <c r="F58" s="2">
        <f>IF(A58="","",IF(C58="","راجع الصنف",""))</f>
        <v/>
      </c>
    </row>
    <row r="59">
      <c r="A59" s="2" t="n"/>
      <c r="B59" s="2" t="n"/>
      <c r="C59" s="3">
        <f>IF(A59="","",IFERROR(VLOOKUP(A59,'الأصناف'!$A$2:$B$100,2,FALSE),""))</f>
        <v/>
      </c>
      <c r="D59" s="3">
        <f>IF(OR(A59="",B59="",C59=""),"",B59*C59)</f>
        <v/>
      </c>
      <c r="E59" s="3">
        <f>IF(D59="","",D59*15%)</f>
        <v/>
      </c>
      <c r="F59" s="2">
        <f>IF(A59="","",IF(C59="","راجع الصنف",""))</f>
        <v/>
      </c>
    </row>
    <row r="60">
      <c r="A60" s="2" t="n"/>
      <c r="B60" s="2" t="n"/>
      <c r="C60" s="3">
        <f>IF(A60="","",IFERROR(VLOOKUP(A60,'الأصناف'!$A$2:$B$100,2,FALSE),""))</f>
        <v/>
      </c>
      <c r="D60" s="3">
        <f>IF(OR(A60="",B60="",C60=""),"",B60*C60)</f>
        <v/>
      </c>
      <c r="E60" s="3">
        <f>IF(D60="","",D60*15%)</f>
        <v/>
      </c>
      <c r="F60" s="2">
        <f>IF(A60="","",IF(C60="","راجع الصنف",""))</f>
        <v/>
      </c>
    </row>
    <row r="61">
      <c r="A61" s="2" t="n"/>
      <c r="B61" s="2" t="n"/>
      <c r="C61" s="3">
        <f>IF(A61="","",IFERROR(VLOOKUP(A61,'الأصناف'!$A$2:$B$100,2,FALSE),""))</f>
        <v/>
      </c>
      <c r="D61" s="3">
        <f>IF(OR(A61="",B61="",C61=""),"",B61*C61)</f>
        <v/>
      </c>
      <c r="E61" s="3">
        <f>IF(D61="","",D61*15%)</f>
        <v/>
      </c>
      <c r="F61" s="2">
        <f>IF(A61="","",IF(C61="","راجع الصنف",""))</f>
        <v/>
      </c>
    </row>
    <row r="62">
      <c r="A62" s="2" t="n"/>
      <c r="B62" s="2" t="n"/>
      <c r="C62" s="3">
        <f>IF(A62="","",IFERROR(VLOOKUP(A62,'الأصناف'!$A$2:$B$100,2,FALSE),""))</f>
        <v/>
      </c>
      <c r="D62" s="3">
        <f>IF(OR(A62="",B62="",C62=""),"",B62*C62)</f>
        <v/>
      </c>
      <c r="E62" s="3">
        <f>IF(D62="","",D62*15%)</f>
        <v/>
      </c>
      <c r="F62" s="2">
        <f>IF(A62="","",IF(C62="","راجع الصنف",""))</f>
        <v/>
      </c>
    </row>
    <row r="63">
      <c r="A63" s="2" t="n"/>
      <c r="B63" s="2" t="n"/>
      <c r="C63" s="3">
        <f>IF(A63="","",IFERROR(VLOOKUP(A63,'الأصناف'!$A$2:$B$100,2,FALSE),""))</f>
        <v/>
      </c>
      <c r="D63" s="3">
        <f>IF(OR(A63="",B63="",C63=""),"",B63*C63)</f>
        <v/>
      </c>
      <c r="E63" s="3">
        <f>IF(D63="","",D63*15%)</f>
        <v/>
      </c>
      <c r="F63" s="2">
        <f>IF(A63="","",IF(C63="","راجع الصنف",""))</f>
        <v/>
      </c>
    </row>
    <row r="64">
      <c r="A64" s="2" t="n"/>
      <c r="B64" s="2" t="n"/>
      <c r="C64" s="3">
        <f>IF(A64="","",IFERROR(VLOOKUP(A64,'الأصناف'!$A$2:$B$100,2,FALSE),""))</f>
        <v/>
      </c>
      <c r="D64" s="3">
        <f>IF(OR(A64="",B64="",C64=""),"",B64*C64)</f>
        <v/>
      </c>
      <c r="E64" s="3">
        <f>IF(D64="","",D64*15%)</f>
        <v/>
      </c>
      <c r="F64" s="2">
        <f>IF(A64="","",IF(C64="","راجع الصنف",""))</f>
        <v/>
      </c>
    </row>
    <row r="65">
      <c r="A65" s="2" t="n"/>
      <c r="B65" s="2" t="n"/>
      <c r="C65" s="3">
        <f>IF(A65="","",IFERROR(VLOOKUP(A65,'الأصناف'!$A$2:$B$100,2,FALSE),""))</f>
        <v/>
      </c>
      <c r="D65" s="3">
        <f>IF(OR(A65="",B65="",C65=""),"",B65*C65)</f>
        <v/>
      </c>
      <c r="E65" s="3">
        <f>IF(D65="","",D65*15%)</f>
        <v/>
      </c>
      <c r="F65" s="2">
        <f>IF(A65="","",IF(C65="","راجع الصنف",""))</f>
        <v/>
      </c>
    </row>
    <row r="66">
      <c r="A66" s="2" t="n"/>
      <c r="B66" s="2" t="n"/>
      <c r="C66" s="3">
        <f>IF(A66="","",IFERROR(VLOOKUP(A66,'الأصناف'!$A$2:$B$100,2,FALSE),""))</f>
        <v/>
      </c>
      <c r="D66" s="3">
        <f>IF(OR(A66="",B66="",C66=""),"",B66*C66)</f>
        <v/>
      </c>
      <c r="E66" s="3">
        <f>IF(D66="","",D66*15%)</f>
        <v/>
      </c>
      <c r="F66" s="2">
        <f>IF(A66="","",IF(C66="","راجع الصنف",""))</f>
        <v/>
      </c>
    </row>
    <row r="67">
      <c r="A67" s="2" t="n"/>
      <c r="B67" s="2" t="n"/>
      <c r="C67" s="3">
        <f>IF(A67="","",IFERROR(VLOOKUP(A67,'الأصناف'!$A$2:$B$100,2,FALSE),""))</f>
        <v/>
      </c>
      <c r="D67" s="3">
        <f>IF(OR(A67="",B67="",C67=""),"",B67*C67)</f>
        <v/>
      </c>
      <c r="E67" s="3">
        <f>IF(D67="","",D67*15%)</f>
        <v/>
      </c>
      <c r="F67" s="2">
        <f>IF(A67="","",IF(C67="","راجع الصنف",""))</f>
        <v/>
      </c>
    </row>
    <row r="68">
      <c r="A68" s="2" t="n"/>
      <c r="B68" s="2" t="n"/>
      <c r="C68" s="3">
        <f>IF(A68="","",IFERROR(VLOOKUP(A68,'الأصناف'!$A$2:$B$100,2,FALSE),""))</f>
        <v/>
      </c>
      <c r="D68" s="3">
        <f>IF(OR(A68="",B68="",C68=""),"",B68*C68)</f>
        <v/>
      </c>
      <c r="E68" s="3">
        <f>IF(D68="","",D68*15%)</f>
        <v/>
      </c>
      <c r="F68" s="2">
        <f>IF(A68="","",IF(C68="","راجع الصنف",""))</f>
        <v/>
      </c>
    </row>
    <row r="69">
      <c r="A69" s="2" t="n"/>
      <c r="B69" s="2" t="n"/>
      <c r="C69" s="3">
        <f>IF(A69="","",IFERROR(VLOOKUP(A69,'الأصناف'!$A$2:$B$100,2,FALSE),""))</f>
        <v/>
      </c>
      <c r="D69" s="3">
        <f>IF(OR(A69="",B69="",C69=""),"",B69*C69)</f>
        <v/>
      </c>
      <c r="E69" s="3">
        <f>IF(D69="","",D69*15%)</f>
        <v/>
      </c>
      <c r="F69" s="2">
        <f>IF(A69="","",IF(C69="","راجع الصنف",""))</f>
        <v/>
      </c>
    </row>
    <row r="70">
      <c r="A70" s="2" t="n"/>
      <c r="B70" s="2" t="n"/>
      <c r="C70" s="3">
        <f>IF(A70="","",IFERROR(VLOOKUP(A70,'الأصناف'!$A$2:$B$100,2,FALSE),""))</f>
        <v/>
      </c>
      <c r="D70" s="3">
        <f>IF(OR(A70="",B70="",C70=""),"",B70*C70)</f>
        <v/>
      </c>
      <c r="E70" s="3">
        <f>IF(D70="","",D70*15%)</f>
        <v/>
      </c>
      <c r="F70" s="2">
        <f>IF(A70="","",IF(C70="","راجع الصنف",""))</f>
        <v/>
      </c>
    </row>
    <row r="71">
      <c r="A71" s="2" t="n"/>
      <c r="B71" s="2" t="n"/>
      <c r="C71" s="3">
        <f>IF(A71="","",IFERROR(VLOOKUP(A71,'الأصناف'!$A$2:$B$100,2,FALSE),""))</f>
        <v/>
      </c>
      <c r="D71" s="3">
        <f>IF(OR(A71="",B71="",C71=""),"",B71*C71)</f>
        <v/>
      </c>
      <c r="E71" s="3">
        <f>IF(D71="","",D71*15%)</f>
        <v/>
      </c>
      <c r="F71" s="2">
        <f>IF(A71="","",IF(C71="","راجع الصنف",""))</f>
        <v/>
      </c>
    </row>
    <row r="72">
      <c r="A72" s="2" t="n"/>
      <c r="B72" s="2" t="n"/>
      <c r="C72" s="3">
        <f>IF(A72="","",IFERROR(VLOOKUP(A72,'الأصناف'!$A$2:$B$100,2,FALSE),""))</f>
        <v/>
      </c>
      <c r="D72" s="3">
        <f>IF(OR(A72="",B72="",C72=""),"",B72*C72)</f>
        <v/>
      </c>
      <c r="E72" s="3">
        <f>IF(D72="","",D72*15%)</f>
        <v/>
      </c>
      <c r="F72" s="2">
        <f>IF(A72="","",IF(C72="","راجع الصنف",""))</f>
        <v/>
      </c>
    </row>
    <row r="73">
      <c r="A73" s="2" t="n"/>
      <c r="B73" s="2" t="n"/>
      <c r="C73" s="3">
        <f>IF(A73="","",IFERROR(VLOOKUP(A73,'الأصناف'!$A$2:$B$100,2,FALSE),""))</f>
        <v/>
      </c>
      <c r="D73" s="3">
        <f>IF(OR(A73="",B73="",C73=""),"",B73*C73)</f>
        <v/>
      </c>
      <c r="E73" s="3">
        <f>IF(D73="","",D73*15%)</f>
        <v/>
      </c>
      <c r="F73" s="2">
        <f>IF(A73="","",IF(C73="","راجع الصنف",""))</f>
        <v/>
      </c>
    </row>
    <row r="74">
      <c r="A74" s="2" t="n"/>
      <c r="B74" s="2" t="n"/>
      <c r="C74" s="3">
        <f>IF(A74="","",IFERROR(VLOOKUP(A74,'الأصناف'!$A$2:$B$100,2,FALSE),""))</f>
        <v/>
      </c>
      <c r="D74" s="3">
        <f>IF(OR(A74="",B74="",C74=""),"",B74*C74)</f>
        <v/>
      </c>
      <c r="E74" s="3">
        <f>IF(D74="","",D74*15%)</f>
        <v/>
      </c>
      <c r="F74" s="2">
        <f>IF(A74="","",IF(C74="","راجع الصنف",""))</f>
        <v/>
      </c>
    </row>
    <row r="75">
      <c r="A75" s="2" t="n"/>
      <c r="B75" s="2" t="n"/>
      <c r="C75" s="3">
        <f>IF(A75="","",IFERROR(VLOOKUP(A75,'الأصناف'!$A$2:$B$100,2,FALSE),""))</f>
        <v/>
      </c>
      <c r="D75" s="3">
        <f>IF(OR(A75="",B75="",C75=""),"",B75*C75)</f>
        <v/>
      </c>
      <c r="E75" s="3">
        <f>IF(D75="","",D75*15%)</f>
        <v/>
      </c>
      <c r="F75" s="2">
        <f>IF(A75="","",IF(C75="","راجع الصنف",""))</f>
        <v/>
      </c>
    </row>
    <row r="76">
      <c r="A76" s="2" t="n"/>
      <c r="B76" s="2" t="n"/>
      <c r="C76" s="3">
        <f>IF(A76="","",IFERROR(VLOOKUP(A76,'الأصناف'!$A$2:$B$100,2,FALSE),""))</f>
        <v/>
      </c>
      <c r="D76" s="3">
        <f>IF(OR(A76="",B76="",C76=""),"",B76*C76)</f>
        <v/>
      </c>
      <c r="E76" s="3">
        <f>IF(D76="","",D76*15%)</f>
        <v/>
      </c>
      <c r="F76" s="2">
        <f>IF(A76="","",IF(C76="","راجع الصنف",""))</f>
        <v/>
      </c>
    </row>
    <row r="77">
      <c r="A77" s="2" t="n"/>
      <c r="B77" s="2" t="n"/>
      <c r="C77" s="3">
        <f>IF(A77="","",IFERROR(VLOOKUP(A77,'الأصناف'!$A$2:$B$100,2,FALSE),""))</f>
        <v/>
      </c>
      <c r="D77" s="3">
        <f>IF(OR(A77="",B77="",C77=""),"",B77*C77)</f>
        <v/>
      </c>
      <c r="E77" s="3">
        <f>IF(D77="","",D77*15%)</f>
        <v/>
      </c>
      <c r="F77" s="2">
        <f>IF(A77="","",IF(C77="","راجع الصنف",""))</f>
        <v/>
      </c>
    </row>
    <row r="78">
      <c r="A78" s="2" t="n"/>
      <c r="B78" s="2" t="n"/>
      <c r="C78" s="3">
        <f>IF(A78="","",IFERROR(VLOOKUP(A78,'الأصناف'!$A$2:$B$100,2,FALSE),""))</f>
        <v/>
      </c>
      <c r="D78" s="3">
        <f>IF(OR(A78="",B78="",C78=""),"",B78*C78)</f>
        <v/>
      </c>
      <c r="E78" s="3">
        <f>IF(D78="","",D78*15%)</f>
        <v/>
      </c>
      <c r="F78" s="2">
        <f>IF(A78="","",IF(C78="","راجع الصنف",""))</f>
        <v/>
      </c>
    </row>
    <row r="79">
      <c r="A79" s="2" t="n"/>
      <c r="B79" s="2" t="n"/>
      <c r="C79" s="3">
        <f>IF(A79="","",IFERROR(VLOOKUP(A79,'الأصناف'!$A$2:$B$100,2,FALSE),""))</f>
        <v/>
      </c>
      <c r="D79" s="3">
        <f>IF(OR(A79="",B79="",C79=""),"",B79*C79)</f>
        <v/>
      </c>
      <c r="E79" s="3">
        <f>IF(D79="","",D79*15%)</f>
        <v/>
      </c>
      <c r="F79" s="2">
        <f>IF(A79="","",IF(C79="","راجع الصنف",""))</f>
        <v/>
      </c>
    </row>
    <row r="80">
      <c r="A80" s="2" t="n"/>
      <c r="B80" s="2" t="n"/>
      <c r="C80" s="3">
        <f>IF(A80="","",IFERROR(VLOOKUP(A80,'الأصناف'!$A$2:$B$100,2,FALSE),""))</f>
        <v/>
      </c>
      <c r="D80" s="3">
        <f>IF(OR(A80="",B80="",C80=""),"",B80*C80)</f>
        <v/>
      </c>
      <c r="E80" s="3">
        <f>IF(D80="","",D80*15%)</f>
        <v/>
      </c>
      <c r="F80" s="2">
        <f>IF(A80="","",IF(C80="","راجع الصنف",""))</f>
        <v/>
      </c>
    </row>
    <row r="81">
      <c r="A81" s="2" t="n"/>
      <c r="B81" s="2" t="n"/>
      <c r="C81" s="3">
        <f>IF(A81="","",IFERROR(VLOOKUP(A81,'الأصناف'!$A$2:$B$100,2,FALSE),""))</f>
        <v/>
      </c>
      <c r="D81" s="3">
        <f>IF(OR(A81="",B81="",C81=""),"",B81*C81)</f>
        <v/>
      </c>
      <c r="E81" s="3">
        <f>IF(D81="","",D81*15%)</f>
        <v/>
      </c>
      <c r="F81" s="2">
        <f>IF(A81="","",IF(C81="","راجع الصنف",""))</f>
        <v/>
      </c>
    </row>
    <row r="82">
      <c r="A82" s="2" t="n"/>
      <c r="B82" s="2" t="n"/>
      <c r="C82" s="3">
        <f>IF(A82="","",IFERROR(VLOOKUP(A82,'الأصناف'!$A$2:$B$100,2,FALSE),""))</f>
        <v/>
      </c>
      <c r="D82" s="3">
        <f>IF(OR(A82="",B82="",C82=""),"",B82*C82)</f>
        <v/>
      </c>
      <c r="E82" s="3">
        <f>IF(D82="","",D82*15%)</f>
        <v/>
      </c>
      <c r="F82" s="2">
        <f>IF(A82="","",IF(C82="","راجع الصنف",""))</f>
        <v/>
      </c>
    </row>
    <row r="83">
      <c r="A83" s="2" t="n"/>
      <c r="B83" s="2" t="n"/>
      <c r="C83" s="3">
        <f>IF(A83="","",IFERROR(VLOOKUP(A83,'الأصناف'!$A$2:$B$100,2,FALSE),""))</f>
        <v/>
      </c>
      <c r="D83" s="3">
        <f>IF(OR(A83="",B83="",C83=""),"",B83*C83)</f>
        <v/>
      </c>
      <c r="E83" s="3">
        <f>IF(D83="","",D83*15%)</f>
        <v/>
      </c>
      <c r="F83" s="2">
        <f>IF(A83="","",IF(C83="","راجع الصنف",""))</f>
        <v/>
      </c>
    </row>
    <row r="84">
      <c r="A84" s="2" t="n"/>
      <c r="B84" s="2" t="n"/>
      <c r="C84" s="3">
        <f>IF(A84="","",IFERROR(VLOOKUP(A84,'الأصناف'!$A$2:$B$100,2,FALSE),""))</f>
        <v/>
      </c>
      <c r="D84" s="3">
        <f>IF(OR(A84="",B84="",C84=""),"",B84*C84)</f>
        <v/>
      </c>
      <c r="E84" s="3">
        <f>IF(D84="","",D84*15%)</f>
        <v/>
      </c>
      <c r="F84" s="2">
        <f>IF(A84="","",IF(C84="","راجع الصنف",""))</f>
        <v/>
      </c>
    </row>
    <row r="85">
      <c r="A85" s="2" t="n"/>
      <c r="B85" s="2" t="n"/>
      <c r="C85" s="3">
        <f>IF(A85="","",IFERROR(VLOOKUP(A85,'الأصناف'!$A$2:$B$100,2,FALSE),""))</f>
        <v/>
      </c>
      <c r="D85" s="3">
        <f>IF(OR(A85="",B85="",C85=""),"",B85*C85)</f>
        <v/>
      </c>
      <c r="E85" s="3">
        <f>IF(D85="","",D85*15%)</f>
        <v/>
      </c>
      <c r="F85" s="2">
        <f>IF(A85="","",IF(C85="","راجع الصنف",""))</f>
        <v/>
      </c>
    </row>
    <row r="86">
      <c r="A86" s="2" t="n"/>
      <c r="B86" s="2" t="n"/>
      <c r="C86" s="3">
        <f>IF(A86="","",IFERROR(VLOOKUP(A86,'الأصناف'!$A$2:$B$100,2,FALSE),""))</f>
        <v/>
      </c>
      <c r="D86" s="3">
        <f>IF(OR(A86="",B86="",C86=""),"",B86*C86)</f>
        <v/>
      </c>
      <c r="E86" s="3">
        <f>IF(D86="","",D86*15%)</f>
        <v/>
      </c>
      <c r="F86" s="2">
        <f>IF(A86="","",IF(C86="","راجع الصنف",""))</f>
        <v/>
      </c>
    </row>
    <row r="87">
      <c r="A87" s="2" t="n"/>
      <c r="B87" s="2" t="n"/>
      <c r="C87" s="3">
        <f>IF(A87="","",IFERROR(VLOOKUP(A87,'الأصناف'!$A$2:$B$100,2,FALSE),""))</f>
        <v/>
      </c>
      <c r="D87" s="3">
        <f>IF(OR(A87="",B87="",C87=""),"",B87*C87)</f>
        <v/>
      </c>
      <c r="E87" s="3">
        <f>IF(D87="","",D87*15%)</f>
        <v/>
      </c>
      <c r="F87" s="2">
        <f>IF(A87="","",IF(C87="","راجع الصنف",""))</f>
        <v/>
      </c>
    </row>
    <row r="88">
      <c r="A88" s="2" t="n"/>
      <c r="B88" s="2" t="n"/>
      <c r="C88" s="3">
        <f>IF(A88="","",IFERROR(VLOOKUP(A88,'الأصناف'!$A$2:$B$100,2,FALSE),""))</f>
        <v/>
      </c>
      <c r="D88" s="3">
        <f>IF(OR(A88="",B88="",C88=""),"",B88*C88)</f>
        <v/>
      </c>
      <c r="E88" s="3">
        <f>IF(D88="","",D88*15%)</f>
        <v/>
      </c>
      <c r="F88" s="2">
        <f>IF(A88="","",IF(C88="","راجع الصنف",""))</f>
        <v/>
      </c>
    </row>
    <row r="89">
      <c r="A89" s="2" t="n"/>
      <c r="B89" s="2" t="n"/>
      <c r="C89" s="3">
        <f>IF(A89="","",IFERROR(VLOOKUP(A89,'الأصناف'!$A$2:$B$100,2,FALSE),""))</f>
        <v/>
      </c>
      <c r="D89" s="3">
        <f>IF(OR(A89="",B89="",C89=""),"",B89*C89)</f>
        <v/>
      </c>
      <c r="E89" s="3">
        <f>IF(D89="","",D89*15%)</f>
        <v/>
      </c>
      <c r="F89" s="2">
        <f>IF(A89="","",IF(C89="","راجع الصنف",""))</f>
        <v/>
      </c>
    </row>
    <row r="90">
      <c r="A90" s="2" t="n"/>
      <c r="B90" s="2" t="n"/>
      <c r="C90" s="3">
        <f>IF(A90="","",IFERROR(VLOOKUP(A90,'الأصناف'!$A$2:$B$100,2,FALSE),""))</f>
        <v/>
      </c>
      <c r="D90" s="3">
        <f>IF(OR(A90="",B90="",C90=""),"",B90*C90)</f>
        <v/>
      </c>
      <c r="E90" s="3">
        <f>IF(D90="","",D90*15%)</f>
        <v/>
      </c>
      <c r="F90" s="2">
        <f>IF(A90="","",IF(C90="","راجع الصنف",""))</f>
        <v/>
      </c>
    </row>
    <row r="91">
      <c r="A91" s="2" t="n"/>
      <c r="B91" s="2" t="n"/>
      <c r="C91" s="3">
        <f>IF(A91="","",IFERROR(VLOOKUP(A91,'الأصناف'!$A$2:$B$100,2,FALSE),""))</f>
        <v/>
      </c>
      <c r="D91" s="3">
        <f>IF(OR(A91="",B91="",C91=""),"",B91*C91)</f>
        <v/>
      </c>
      <c r="E91" s="3">
        <f>IF(D91="","",D91*15%)</f>
        <v/>
      </c>
      <c r="F91" s="2">
        <f>IF(A91="","",IF(C91="","راجع الصنف",""))</f>
        <v/>
      </c>
    </row>
    <row r="92">
      <c r="A92" s="2" t="n"/>
      <c r="B92" s="2" t="n"/>
      <c r="C92" s="3">
        <f>IF(A92="","",IFERROR(VLOOKUP(A92,'الأصناف'!$A$2:$B$100,2,FALSE),""))</f>
        <v/>
      </c>
      <c r="D92" s="3">
        <f>IF(OR(A92="",B92="",C92=""),"",B92*C92)</f>
        <v/>
      </c>
      <c r="E92" s="3">
        <f>IF(D92="","",D92*15%)</f>
        <v/>
      </c>
      <c r="F92" s="2">
        <f>IF(A92="","",IF(C92="","راجع الصنف",""))</f>
        <v/>
      </c>
    </row>
    <row r="93">
      <c r="A93" s="2" t="n"/>
      <c r="B93" s="2" t="n"/>
      <c r="C93" s="3">
        <f>IF(A93="","",IFERROR(VLOOKUP(A93,'الأصناف'!$A$2:$B$100,2,FALSE),""))</f>
        <v/>
      </c>
      <c r="D93" s="3">
        <f>IF(OR(A93="",B93="",C93=""),"",B93*C93)</f>
        <v/>
      </c>
      <c r="E93" s="3">
        <f>IF(D93="","",D93*15%)</f>
        <v/>
      </c>
      <c r="F93" s="2">
        <f>IF(A93="","",IF(C93="","راجع الصنف",""))</f>
        <v/>
      </c>
    </row>
    <row r="94">
      <c r="A94" s="2" t="n"/>
      <c r="B94" s="2" t="n"/>
      <c r="C94" s="3">
        <f>IF(A94="","",IFERROR(VLOOKUP(A94,'الأصناف'!$A$2:$B$100,2,FALSE),""))</f>
        <v/>
      </c>
      <c r="D94" s="3">
        <f>IF(OR(A94="",B94="",C94=""),"",B94*C94)</f>
        <v/>
      </c>
      <c r="E94" s="3">
        <f>IF(D94="","",D94*15%)</f>
        <v/>
      </c>
      <c r="F94" s="2">
        <f>IF(A94="","",IF(C94="","راجع الصنف",""))</f>
        <v/>
      </c>
    </row>
    <row r="95">
      <c r="A95" s="2" t="n"/>
      <c r="B95" s="2" t="n"/>
      <c r="C95" s="3">
        <f>IF(A95="","",IFERROR(VLOOKUP(A95,'الأصناف'!$A$2:$B$100,2,FALSE),""))</f>
        <v/>
      </c>
      <c r="D95" s="3">
        <f>IF(OR(A95="",B95="",C95=""),"",B95*C95)</f>
        <v/>
      </c>
      <c r="E95" s="3">
        <f>IF(D95="","",D95*15%)</f>
        <v/>
      </c>
      <c r="F95" s="2">
        <f>IF(A95="","",IF(C95="","راجع الصنف",""))</f>
        <v/>
      </c>
    </row>
    <row r="96">
      <c r="A96" s="2" t="n"/>
      <c r="B96" s="2" t="n"/>
      <c r="C96" s="3">
        <f>IF(A96="","",IFERROR(VLOOKUP(A96,'الأصناف'!$A$2:$B$100,2,FALSE),""))</f>
        <v/>
      </c>
      <c r="D96" s="3">
        <f>IF(OR(A96="",B96="",C96=""),"",B96*C96)</f>
        <v/>
      </c>
      <c r="E96" s="3">
        <f>IF(D96="","",D96*15%)</f>
        <v/>
      </c>
      <c r="F96" s="2">
        <f>IF(A96="","",IF(C96="","راجع الصنف",""))</f>
        <v/>
      </c>
    </row>
    <row r="97">
      <c r="A97" s="2" t="n"/>
      <c r="B97" s="2" t="n"/>
      <c r="C97" s="3">
        <f>IF(A97="","",IFERROR(VLOOKUP(A97,'الأصناف'!$A$2:$B$100,2,FALSE),""))</f>
        <v/>
      </c>
      <c r="D97" s="3">
        <f>IF(OR(A97="",B97="",C97=""),"",B97*C97)</f>
        <v/>
      </c>
      <c r="E97" s="3">
        <f>IF(D97="","",D97*15%)</f>
        <v/>
      </c>
      <c r="F97" s="2">
        <f>IF(A97="","",IF(C97="","راجع الصنف",""))</f>
        <v/>
      </c>
    </row>
    <row r="98">
      <c r="A98" s="2" t="n"/>
      <c r="B98" s="2" t="n"/>
      <c r="C98" s="3">
        <f>IF(A98="","",IFERROR(VLOOKUP(A98,'الأصناف'!$A$2:$B$100,2,FALSE),""))</f>
        <v/>
      </c>
      <c r="D98" s="3">
        <f>IF(OR(A98="",B98="",C98=""),"",B98*C98)</f>
        <v/>
      </c>
      <c r="E98" s="3">
        <f>IF(D98="","",D98*15%)</f>
        <v/>
      </c>
      <c r="F98" s="2">
        <f>IF(A98="","",IF(C98="","راجع الصنف",""))</f>
        <v/>
      </c>
    </row>
    <row r="99">
      <c r="A99" s="2" t="n"/>
      <c r="B99" s="2" t="n"/>
      <c r="C99" s="3">
        <f>IF(A99="","",IFERROR(VLOOKUP(A99,'الأصناف'!$A$2:$B$100,2,FALSE),""))</f>
        <v/>
      </c>
      <c r="D99" s="3">
        <f>IF(OR(A99="",B99="",C99=""),"",B99*C99)</f>
        <v/>
      </c>
      <c r="E99" s="3">
        <f>IF(D99="","",D99*15%)</f>
        <v/>
      </c>
      <c r="F99" s="2">
        <f>IF(A99="","",IF(C99="","راجع الصنف",""))</f>
        <v/>
      </c>
    </row>
    <row r="100">
      <c r="A100" s="2" t="n"/>
      <c r="B100" s="2" t="n"/>
      <c r="C100" s="3">
        <f>IF(A100="","",IFERROR(VLOOKUP(A100,'الأصناف'!$A$2:$B$100,2,FALSE),""))</f>
        <v/>
      </c>
      <c r="D100" s="3">
        <f>IF(OR(A100="",B100="",C100=""),"",B100*C100)</f>
        <v/>
      </c>
      <c r="E100" s="3">
        <f>IF(D100="","",D100*15%)</f>
        <v/>
      </c>
      <c r="F100" s="2">
        <f>IF(A100="","",IF(C100="","راجع الصنف",""))</f>
        <v/>
      </c>
    </row>
    <row r="101">
      <c r="A101" s="2" t="n"/>
      <c r="B101" s="2" t="n"/>
      <c r="C101" s="3">
        <f>IF(A101="","",IFERROR(VLOOKUP(A101,'الأصناف'!$A$2:$B$100,2,FALSE),""))</f>
        <v/>
      </c>
      <c r="D101" s="3">
        <f>IF(OR(A101="",B101="",C101=""),"",B101*C101)</f>
        <v/>
      </c>
      <c r="E101" s="3">
        <f>IF(D101="","",D101*15%)</f>
        <v/>
      </c>
      <c r="F101" s="2">
        <f>IF(A101="","",IF(C101="","راجع الصنف",""))</f>
        <v/>
      </c>
    </row>
    <row r="102">
      <c r="A102" s="2" t="n"/>
      <c r="B102" s="2" t="n"/>
      <c r="C102" s="3">
        <f>IF(A102="","",IFERROR(VLOOKUP(A102,'الأصناف'!$A$2:$B$100,2,FALSE),""))</f>
        <v/>
      </c>
      <c r="D102" s="3">
        <f>IF(OR(A102="",B102="",C102=""),"",B102*C102)</f>
        <v/>
      </c>
      <c r="E102" s="3">
        <f>IF(D102="","",D102*15%)</f>
        <v/>
      </c>
      <c r="F102" s="2">
        <f>IF(A102="","",IF(C102="","راجع الصنف",""))</f>
        <v/>
      </c>
    </row>
    <row r="103">
      <c r="A103" s="2" t="n"/>
      <c r="B103" s="2" t="n"/>
      <c r="C103" s="3">
        <f>IF(A103="","",IFERROR(VLOOKUP(A103,'الأصناف'!$A$2:$B$100,2,FALSE),""))</f>
        <v/>
      </c>
      <c r="D103" s="3">
        <f>IF(OR(A103="",B103="",C103=""),"",B103*C103)</f>
        <v/>
      </c>
      <c r="E103" s="3">
        <f>IF(D103="","",D103*15%)</f>
        <v/>
      </c>
      <c r="F103" s="2">
        <f>IF(A103="","",IF(C103="","راجع الصنف",""))</f>
        <v/>
      </c>
    </row>
    <row r="104">
      <c r="A104" s="2" t="n"/>
      <c r="B104" s="2" t="n"/>
      <c r="C104" s="3">
        <f>IF(A104="","",IFERROR(VLOOKUP(A104,'الأصناف'!$A$2:$B$100,2,FALSE),""))</f>
        <v/>
      </c>
      <c r="D104" s="3">
        <f>IF(OR(A104="",B104="",C104=""),"",B104*C104)</f>
        <v/>
      </c>
      <c r="E104" s="3">
        <f>IF(D104="","",D104*15%)</f>
        <v/>
      </c>
      <c r="F104" s="2">
        <f>IF(A104="","",IF(C104="","راجع الصنف",""))</f>
        <v/>
      </c>
    </row>
    <row r="105">
      <c r="A105" s="2" t="n"/>
      <c r="B105" s="2" t="n"/>
      <c r="C105" s="3">
        <f>IF(A105="","",IFERROR(VLOOKUP(A105,'الأصناف'!$A$2:$B$100,2,FALSE),""))</f>
        <v/>
      </c>
      <c r="D105" s="3">
        <f>IF(OR(A105="",B105="",C105=""),"",B105*C105)</f>
        <v/>
      </c>
      <c r="E105" s="3">
        <f>IF(D105="","",D105*15%)</f>
        <v/>
      </c>
      <c r="F105" s="2">
        <f>IF(A105="","",IF(C105="","راجع الصنف",""))</f>
        <v/>
      </c>
    </row>
    <row r="106">
      <c r="A106" s="2" t="n"/>
      <c r="B106" s="2" t="n"/>
      <c r="C106" s="3">
        <f>IF(A106="","",IFERROR(VLOOKUP(A106,'الأصناف'!$A$2:$B$100,2,FALSE),""))</f>
        <v/>
      </c>
      <c r="D106" s="3">
        <f>IF(OR(A106="",B106="",C106=""),"",B106*C106)</f>
        <v/>
      </c>
      <c r="E106" s="3">
        <f>IF(D106="","",D106*15%)</f>
        <v/>
      </c>
      <c r="F106" s="2">
        <f>IF(A106="","",IF(C106="","راجع الصنف",""))</f>
        <v/>
      </c>
    </row>
    <row r="107">
      <c r="A107" s="2" t="n"/>
      <c r="B107" s="2" t="n"/>
      <c r="C107" s="3">
        <f>IF(A107="","",IFERROR(VLOOKUP(A107,'الأصناف'!$A$2:$B$100,2,FALSE),""))</f>
        <v/>
      </c>
      <c r="D107" s="3">
        <f>IF(OR(A107="",B107="",C107=""),"",B107*C107)</f>
        <v/>
      </c>
      <c r="E107" s="3">
        <f>IF(D107="","",D107*15%)</f>
        <v/>
      </c>
      <c r="F107" s="2">
        <f>IF(A107="","",IF(C107="","راجع الصنف",""))</f>
        <v/>
      </c>
    </row>
    <row r="108">
      <c r="A108" s="2" t="n"/>
      <c r="B108" s="2" t="n"/>
      <c r="C108" s="3">
        <f>IF(A108="","",IFERROR(VLOOKUP(A108,'الأصناف'!$A$2:$B$100,2,FALSE),""))</f>
        <v/>
      </c>
      <c r="D108" s="3">
        <f>IF(OR(A108="",B108="",C108=""),"",B108*C108)</f>
        <v/>
      </c>
      <c r="E108" s="3">
        <f>IF(D108="","",D108*15%)</f>
        <v/>
      </c>
      <c r="F108" s="2">
        <f>IF(A108="","",IF(C108="","راجع الصنف",""))</f>
        <v/>
      </c>
    </row>
    <row r="109">
      <c r="A109" s="2" t="n"/>
      <c r="B109" s="2" t="n"/>
      <c r="C109" s="3">
        <f>IF(A109="","",IFERROR(VLOOKUP(A109,'الأصناف'!$A$2:$B$100,2,FALSE),""))</f>
        <v/>
      </c>
      <c r="D109" s="3">
        <f>IF(OR(A109="",B109="",C109=""),"",B109*C109)</f>
        <v/>
      </c>
      <c r="E109" s="3">
        <f>IF(D109="","",D109*15%)</f>
        <v/>
      </c>
      <c r="F109" s="2">
        <f>IF(A109="","",IF(C109="","راجع الصنف",""))</f>
        <v/>
      </c>
    </row>
    <row r="110">
      <c r="A110" s="2" t="n"/>
      <c r="B110" s="2" t="n"/>
      <c r="C110" s="3">
        <f>IF(A110="","",IFERROR(VLOOKUP(A110,'الأصناف'!$A$2:$B$100,2,FALSE),""))</f>
        <v/>
      </c>
      <c r="D110" s="3">
        <f>IF(OR(A110="",B110="",C110=""),"",B110*C110)</f>
        <v/>
      </c>
      <c r="E110" s="3">
        <f>IF(D110="","",D110*15%)</f>
        <v/>
      </c>
      <c r="F110" s="2">
        <f>IF(A110="","",IF(C110="","راجع الصنف",""))</f>
        <v/>
      </c>
    </row>
    <row r="111">
      <c r="A111" s="2" t="n"/>
      <c r="B111" s="2" t="n"/>
      <c r="C111" s="3">
        <f>IF(A111="","",IFERROR(VLOOKUP(A111,'الأصناف'!$A$2:$B$100,2,FALSE),""))</f>
        <v/>
      </c>
      <c r="D111" s="3">
        <f>IF(OR(A111="",B111="",C111=""),"",B111*C111)</f>
        <v/>
      </c>
      <c r="E111" s="3">
        <f>IF(D111="","",D111*15%)</f>
        <v/>
      </c>
      <c r="F111" s="2">
        <f>IF(A111="","",IF(C111="","راجع الصنف",""))</f>
        <v/>
      </c>
    </row>
    <row r="112">
      <c r="A112" s="2" t="n"/>
      <c r="B112" s="2" t="n"/>
      <c r="C112" s="3">
        <f>IF(A112="","",IFERROR(VLOOKUP(A112,'الأصناف'!$A$2:$B$100,2,FALSE),""))</f>
        <v/>
      </c>
      <c r="D112" s="3">
        <f>IF(OR(A112="",B112="",C112=""),"",B112*C112)</f>
        <v/>
      </c>
      <c r="E112" s="3">
        <f>IF(D112="","",D112*15%)</f>
        <v/>
      </c>
      <c r="F112" s="2">
        <f>IF(A112="","",IF(C112="","راجع الصنف",""))</f>
        <v/>
      </c>
    </row>
    <row r="113">
      <c r="A113" s="2" t="n"/>
      <c r="B113" s="2" t="n"/>
      <c r="C113" s="3">
        <f>IF(A113="","",IFERROR(VLOOKUP(A113,'الأصناف'!$A$2:$B$100,2,FALSE),""))</f>
        <v/>
      </c>
      <c r="D113" s="3">
        <f>IF(OR(A113="",B113="",C113=""),"",B113*C113)</f>
        <v/>
      </c>
      <c r="E113" s="3">
        <f>IF(D113="","",D113*15%)</f>
        <v/>
      </c>
      <c r="F113" s="2">
        <f>IF(A113="","",IF(C113="","راجع الصنف",""))</f>
        <v/>
      </c>
    </row>
    <row r="114">
      <c r="A114" s="2" t="n"/>
      <c r="B114" s="2" t="n"/>
      <c r="C114" s="3">
        <f>IF(A114="","",IFERROR(VLOOKUP(A114,'الأصناف'!$A$2:$B$100,2,FALSE),""))</f>
        <v/>
      </c>
      <c r="D114" s="3">
        <f>IF(OR(A114="",B114="",C114=""),"",B114*C114)</f>
        <v/>
      </c>
      <c r="E114" s="3">
        <f>IF(D114="","",D114*15%)</f>
        <v/>
      </c>
      <c r="F114" s="2">
        <f>IF(A114="","",IF(C114="","راجع الصنف",""))</f>
        <v/>
      </c>
    </row>
    <row r="115">
      <c r="A115" s="2" t="n"/>
      <c r="B115" s="2" t="n"/>
      <c r="C115" s="3">
        <f>IF(A115="","",IFERROR(VLOOKUP(A115,'الأصناف'!$A$2:$B$100,2,FALSE),""))</f>
        <v/>
      </c>
      <c r="D115" s="3">
        <f>IF(OR(A115="",B115="",C115=""),"",B115*C115)</f>
        <v/>
      </c>
      <c r="E115" s="3">
        <f>IF(D115="","",D115*15%)</f>
        <v/>
      </c>
      <c r="F115" s="2">
        <f>IF(A115="","",IF(C115="","راجع الصنف",""))</f>
        <v/>
      </c>
    </row>
    <row r="116">
      <c r="A116" s="2" t="n"/>
      <c r="B116" s="2" t="n"/>
      <c r="C116" s="3">
        <f>IF(A116="","",IFERROR(VLOOKUP(A116,'الأصناف'!$A$2:$B$100,2,FALSE),""))</f>
        <v/>
      </c>
      <c r="D116" s="3">
        <f>IF(OR(A116="",B116="",C116=""),"",B116*C116)</f>
        <v/>
      </c>
      <c r="E116" s="3">
        <f>IF(D116="","",D116*15%)</f>
        <v/>
      </c>
      <c r="F116" s="2">
        <f>IF(A116="","",IF(C116="","راجع الصنف",""))</f>
        <v/>
      </c>
    </row>
    <row r="117">
      <c r="A117" s="2" t="n"/>
      <c r="B117" s="2" t="n"/>
      <c r="C117" s="3">
        <f>IF(A117="","",IFERROR(VLOOKUP(A117,'الأصناف'!$A$2:$B$100,2,FALSE),""))</f>
        <v/>
      </c>
      <c r="D117" s="3">
        <f>IF(OR(A117="",B117="",C117=""),"",B117*C117)</f>
        <v/>
      </c>
      <c r="E117" s="3">
        <f>IF(D117="","",D117*15%)</f>
        <v/>
      </c>
      <c r="F117" s="2">
        <f>IF(A117="","",IF(C117="","راجع الصنف",""))</f>
        <v/>
      </c>
    </row>
    <row r="118">
      <c r="A118" s="2" t="n"/>
      <c r="B118" s="2" t="n"/>
      <c r="C118" s="3">
        <f>IF(A118="","",IFERROR(VLOOKUP(A118,'الأصناف'!$A$2:$B$100,2,FALSE),""))</f>
        <v/>
      </c>
      <c r="D118" s="3">
        <f>IF(OR(A118="",B118="",C118=""),"",B118*C118)</f>
        <v/>
      </c>
      <c r="E118" s="3">
        <f>IF(D118="","",D118*15%)</f>
        <v/>
      </c>
      <c r="F118" s="2">
        <f>IF(A118="","",IF(C118="","راجع الصنف",""))</f>
        <v/>
      </c>
    </row>
    <row r="119">
      <c r="A119" s="2" t="n"/>
      <c r="B119" s="2" t="n"/>
      <c r="C119" s="3">
        <f>IF(A119="","",IFERROR(VLOOKUP(A119,'الأصناف'!$A$2:$B$100,2,FALSE),""))</f>
        <v/>
      </c>
      <c r="D119" s="3">
        <f>IF(OR(A119="",B119="",C119=""),"",B119*C119)</f>
        <v/>
      </c>
      <c r="E119" s="3">
        <f>IF(D119="","",D119*15%)</f>
        <v/>
      </c>
      <c r="F119" s="2">
        <f>IF(A119="","",IF(C119="","راجع الصنف",""))</f>
        <v/>
      </c>
    </row>
    <row r="120">
      <c r="A120" s="2" t="n"/>
      <c r="B120" s="2" t="n"/>
      <c r="C120" s="3">
        <f>IF(A120="","",IFERROR(VLOOKUP(A120,'الأصناف'!$A$2:$B$100,2,FALSE),""))</f>
        <v/>
      </c>
      <c r="D120" s="3">
        <f>IF(OR(A120="",B120="",C120=""),"",B120*C120)</f>
        <v/>
      </c>
      <c r="E120" s="3">
        <f>IF(D120="","",D120*15%)</f>
        <v/>
      </c>
      <c r="F120" s="2">
        <f>IF(A120="","",IF(C120="","راجع الصنف",""))</f>
        <v/>
      </c>
    </row>
    <row r="121">
      <c r="A121" s="2" t="n"/>
      <c r="B121" s="2" t="n"/>
      <c r="C121" s="3">
        <f>IF(A121="","",IFERROR(VLOOKUP(A121,'الأصناف'!$A$2:$B$100,2,FALSE),""))</f>
        <v/>
      </c>
      <c r="D121" s="3">
        <f>IF(OR(A121="",B121="",C121=""),"",B121*C121)</f>
        <v/>
      </c>
      <c r="E121" s="3">
        <f>IF(D121="","",D121*15%)</f>
        <v/>
      </c>
      <c r="F121" s="2">
        <f>IF(A121="","",IF(C121="","راجع الصنف",""))</f>
        <v/>
      </c>
    </row>
    <row r="122">
      <c r="A122" s="2" t="n"/>
      <c r="B122" s="2" t="n"/>
      <c r="C122" s="3">
        <f>IF(A122="","",IFERROR(VLOOKUP(A122,'الأصناف'!$A$2:$B$100,2,FALSE),""))</f>
        <v/>
      </c>
      <c r="D122" s="3">
        <f>IF(OR(A122="",B122="",C122=""),"",B122*C122)</f>
        <v/>
      </c>
      <c r="E122" s="3">
        <f>IF(D122="","",D122*15%)</f>
        <v/>
      </c>
      <c r="F122" s="2">
        <f>IF(A122="","",IF(C122="","راجع الصنف",""))</f>
        <v/>
      </c>
    </row>
    <row r="123">
      <c r="A123" s="2" t="n"/>
      <c r="B123" s="2" t="n"/>
      <c r="C123" s="3">
        <f>IF(A123="","",IFERROR(VLOOKUP(A123,'الأصناف'!$A$2:$B$100,2,FALSE),""))</f>
        <v/>
      </c>
      <c r="D123" s="3">
        <f>IF(OR(A123="",B123="",C123=""),"",B123*C123)</f>
        <v/>
      </c>
      <c r="E123" s="3">
        <f>IF(D123="","",D123*15%)</f>
        <v/>
      </c>
      <c r="F123" s="2">
        <f>IF(A123="","",IF(C123="","راجع الصنف",""))</f>
        <v/>
      </c>
    </row>
    <row r="124">
      <c r="A124" s="2" t="n"/>
      <c r="B124" s="2" t="n"/>
      <c r="C124" s="3">
        <f>IF(A124="","",IFERROR(VLOOKUP(A124,'الأصناف'!$A$2:$B$100,2,FALSE),""))</f>
        <v/>
      </c>
      <c r="D124" s="3">
        <f>IF(OR(A124="",B124="",C124=""),"",B124*C124)</f>
        <v/>
      </c>
      <c r="E124" s="3">
        <f>IF(D124="","",D124*15%)</f>
        <v/>
      </c>
      <c r="F124" s="2">
        <f>IF(A124="","",IF(C124="","راجع الصنف",""))</f>
        <v/>
      </c>
    </row>
    <row r="125">
      <c r="A125" s="2" t="n"/>
      <c r="B125" s="2" t="n"/>
      <c r="C125" s="3">
        <f>IF(A125="","",IFERROR(VLOOKUP(A125,'الأصناف'!$A$2:$B$100,2,FALSE),""))</f>
        <v/>
      </c>
      <c r="D125" s="3">
        <f>IF(OR(A125="",B125="",C125=""),"",B125*C125)</f>
        <v/>
      </c>
      <c r="E125" s="3">
        <f>IF(D125="","",D125*15%)</f>
        <v/>
      </c>
      <c r="F125" s="2">
        <f>IF(A125="","",IF(C125="","راجع الصنف",""))</f>
        <v/>
      </c>
    </row>
    <row r="126">
      <c r="A126" s="2" t="n"/>
      <c r="B126" s="2" t="n"/>
      <c r="C126" s="3">
        <f>IF(A126="","",IFERROR(VLOOKUP(A126,'الأصناف'!$A$2:$B$100,2,FALSE),""))</f>
        <v/>
      </c>
      <c r="D126" s="3">
        <f>IF(OR(A126="",B126="",C126=""),"",B126*C126)</f>
        <v/>
      </c>
      <c r="E126" s="3">
        <f>IF(D126="","",D126*15%)</f>
        <v/>
      </c>
      <c r="F126" s="2">
        <f>IF(A126="","",IF(C126="","راجع الصنف",""))</f>
        <v/>
      </c>
    </row>
    <row r="127">
      <c r="A127" s="2" t="n"/>
      <c r="B127" s="2" t="n"/>
      <c r="C127" s="3">
        <f>IF(A127="","",IFERROR(VLOOKUP(A127,'الأصناف'!$A$2:$B$100,2,FALSE),""))</f>
        <v/>
      </c>
      <c r="D127" s="3">
        <f>IF(OR(A127="",B127="",C127=""),"",B127*C127)</f>
        <v/>
      </c>
      <c r="E127" s="3">
        <f>IF(D127="","",D127*15%)</f>
        <v/>
      </c>
      <c r="F127" s="2">
        <f>IF(A127="","",IF(C127="","راجع الصنف",""))</f>
        <v/>
      </c>
    </row>
    <row r="128">
      <c r="A128" s="2" t="n"/>
      <c r="B128" s="2" t="n"/>
      <c r="C128" s="3">
        <f>IF(A128="","",IFERROR(VLOOKUP(A128,'الأصناف'!$A$2:$B$100,2,FALSE),""))</f>
        <v/>
      </c>
      <c r="D128" s="3">
        <f>IF(OR(A128="",B128="",C128=""),"",B128*C128)</f>
        <v/>
      </c>
      <c r="E128" s="3">
        <f>IF(D128="","",D128*15%)</f>
        <v/>
      </c>
      <c r="F128" s="2">
        <f>IF(A128="","",IF(C128="","راجع الصنف",""))</f>
        <v/>
      </c>
    </row>
    <row r="129">
      <c r="A129" s="2" t="n"/>
      <c r="B129" s="2" t="n"/>
      <c r="C129" s="3">
        <f>IF(A129="","",IFERROR(VLOOKUP(A129,'الأصناف'!$A$2:$B$100,2,FALSE),""))</f>
        <v/>
      </c>
      <c r="D129" s="3">
        <f>IF(OR(A129="",B129="",C129=""),"",B129*C129)</f>
        <v/>
      </c>
      <c r="E129" s="3">
        <f>IF(D129="","",D129*15%)</f>
        <v/>
      </c>
      <c r="F129" s="2">
        <f>IF(A129="","",IF(C129="","راجع الصنف",""))</f>
        <v/>
      </c>
    </row>
    <row r="130">
      <c r="A130" s="2" t="n"/>
      <c r="B130" s="2" t="n"/>
      <c r="C130" s="3">
        <f>IF(A130="","",IFERROR(VLOOKUP(A130,'الأصناف'!$A$2:$B$100,2,FALSE),""))</f>
        <v/>
      </c>
      <c r="D130" s="3">
        <f>IF(OR(A130="",B130="",C130=""),"",B130*C130)</f>
        <v/>
      </c>
      <c r="E130" s="3">
        <f>IF(D130="","",D130*15%)</f>
        <v/>
      </c>
      <c r="F130" s="2">
        <f>IF(A130="","",IF(C130="","راجع الصنف",""))</f>
        <v/>
      </c>
    </row>
    <row r="131">
      <c r="A131" s="2" t="n"/>
      <c r="B131" s="2" t="n"/>
      <c r="C131" s="3">
        <f>IF(A131="","",IFERROR(VLOOKUP(A131,'الأصناف'!$A$2:$B$100,2,FALSE),""))</f>
        <v/>
      </c>
      <c r="D131" s="3">
        <f>IF(OR(A131="",B131="",C131=""),"",B131*C131)</f>
        <v/>
      </c>
      <c r="E131" s="3">
        <f>IF(D131="","",D131*15%)</f>
        <v/>
      </c>
      <c r="F131" s="2">
        <f>IF(A131="","",IF(C131="","راجع الصنف",""))</f>
        <v/>
      </c>
    </row>
    <row r="132">
      <c r="A132" s="2" t="n"/>
      <c r="B132" s="2" t="n"/>
      <c r="C132" s="3">
        <f>IF(A132="","",IFERROR(VLOOKUP(A132,'الأصناف'!$A$2:$B$100,2,FALSE),""))</f>
        <v/>
      </c>
      <c r="D132" s="3">
        <f>IF(OR(A132="",B132="",C132=""),"",B132*C132)</f>
        <v/>
      </c>
      <c r="E132" s="3">
        <f>IF(D132="","",D132*15%)</f>
        <v/>
      </c>
      <c r="F132" s="2">
        <f>IF(A132="","",IF(C132="","راجع الصنف",""))</f>
        <v/>
      </c>
    </row>
    <row r="133">
      <c r="A133" s="2" t="n"/>
      <c r="B133" s="2" t="n"/>
      <c r="C133" s="3">
        <f>IF(A133="","",IFERROR(VLOOKUP(A133,'الأصناف'!$A$2:$B$100,2,FALSE),""))</f>
        <v/>
      </c>
      <c r="D133" s="3">
        <f>IF(OR(A133="",B133="",C133=""),"",B133*C133)</f>
        <v/>
      </c>
      <c r="E133" s="3">
        <f>IF(D133="","",D133*15%)</f>
        <v/>
      </c>
      <c r="F133" s="2">
        <f>IF(A133="","",IF(C133="","راجع الصنف",""))</f>
        <v/>
      </c>
    </row>
    <row r="134">
      <c r="A134" s="2" t="n"/>
      <c r="B134" s="2" t="n"/>
      <c r="C134" s="3">
        <f>IF(A134="","",IFERROR(VLOOKUP(A134,'الأصناف'!$A$2:$B$100,2,FALSE),""))</f>
        <v/>
      </c>
      <c r="D134" s="3">
        <f>IF(OR(A134="",B134="",C134=""),"",B134*C134)</f>
        <v/>
      </c>
      <c r="E134" s="3">
        <f>IF(D134="","",D134*15%)</f>
        <v/>
      </c>
      <c r="F134" s="2">
        <f>IF(A134="","",IF(C134="","راجع الصنف",""))</f>
        <v/>
      </c>
    </row>
    <row r="135">
      <c r="A135" s="2" t="n"/>
      <c r="B135" s="2" t="n"/>
      <c r="C135" s="3">
        <f>IF(A135="","",IFERROR(VLOOKUP(A135,'الأصناف'!$A$2:$B$100,2,FALSE),""))</f>
        <v/>
      </c>
      <c r="D135" s="3">
        <f>IF(OR(A135="",B135="",C135=""),"",B135*C135)</f>
        <v/>
      </c>
      <c r="E135" s="3">
        <f>IF(D135="","",D135*15%)</f>
        <v/>
      </c>
      <c r="F135" s="2">
        <f>IF(A135="","",IF(C135="","راجع الصنف",""))</f>
        <v/>
      </c>
    </row>
    <row r="136">
      <c r="A136" s="2" t="n"/>
      <c r="B136" s="2" t="n"/>
      <c r="C136" s="3">
        <f>IF(A136="","",IFERROR(VLOOKUP(A136,'الأصناف'!$A$2:$B$100,2,FALSE),""))</f>
        <v/>
      </c>
      <c r="D136" s="3">
        <f>IF(OR(A136="",B136="",C136=""),"",B136*C136)</f>
        <v/>
      </c>
      <c r="E136" s="3">
        <f>IF(D136="","",D136*15%)</f>
        <v/>
      </c>
      <c r="F136" s="2">
        <f>IF(A136="","",IF(C136="","راجع الصنف",""))</f>
        <v/>
      </c>
    </row>
    <row r="137">
      <c r="A137" s="2" t="n"/>
      <c r="B137" s="2" t="n"/>
      <c r="C137" s="3">
        <f>IF(A137="","",IFERROR(VLOOKUP(A137,'الأصناف'!$A$2:$B$100,2,FALSE),""))</f>
        <v/>
      </c>
      <c r="D137" s="3">
        <f>IF(OR(A137="",B137="",C137=""),"",B137*C137)</f>
        <v/>
      </c>
      <c r="E137" s="3">
        <f>IF(D137="","",D137*15%)</f>
        <v/>
      </c>
      <c r="F137" s="2">
        <f>IF(A137="","",IF(C137="","راجع الصنف",""))</f>
        <v/>
      </c>
    </row>
    <row r="138">
      <c r="A138" s="2" t="n"/>
      <c r="B138" s="2" t="n"/>
      <c r="C138" s="3">
        <f>IF(A138="","",IFERROR(VLOOKUP(A138,'الأصناف'!$A$2:$B$100,2,FALSE),""))</f>
        <v/>
      </c>
      <c r="D138" s="3">
        <f>IF(OR(A138="",B138="",C138=""),"",B138*C138)</f>
        <v/>
      </c>
      <c r="E138" s="3">
        <f>IF(D138="","",D138*15%)</f>
        <v/>
      </c>
      <c r="F138" s="2">
        <f>IF(A138="","",IF(C138="","راجع الصنف",""))</f>
        <v/>
      </c>
    </row>
    <row r="139">
      <c r="A139" s="2" t="n"/>
      <c r="B139" s="2" t="n"/>
      <c r="C139" s="3">
        <f>IF(A139="","",IFERROR(VLOOKUP(A139,'الأصناف'!$A$2:$B$100,2,FALSE),""))</f>
        <v/>
      </c>
      <c r="D139" s="3">
        <f>IF(OR(A139="",B139="",C139=""),"",B139*C139)</f>
        <v/>
      </c>
      <c r="E139" s="3">
        <f>IF(D139="","",D139*15%)</f>
        <v/>
      </c>
      <c r="F139" s="2">
        <f>IF(A139="","",IF(C139="","راجع الصنف",""))</f>
        <v/>
      </c>
    </row>
    <row r="140">
      <c r="A140" s="2" t="n"/>
      <c r="B140" s="2" t="n"/>
      <c r="C140" s="3">
        <f>IF(A140="","",IFERROR(VLOOKUP(A140,'الأصناف'!$A$2:$B$100,2,FALSE),""))</f>
        <v/>
      </c>
      <c r="D140" s="3">
        <f>IF(OR(A140="",B140="",C140=""),"",B140*C140)</f>
        <v/>
      </c>
      <c r="E140" s="3">
        <f>IF(D140="","",D140*15%)</f>
        <v/>
      </c>
      <c r="F140" s="2">
        <f>IF(A140="","",IF(C140="","راجع الصنف",""))</f>
        <v/>
      </c>
    </row>
    <row r="141">
      <c r="A141" s="2" t="n"/>
      <c r="B141" s="2" t="n"/>
      <c r="C141" s="3">
        <f>IF(A141="","",IFERROR(VLOOKUP(A141,'الأصناف'!$A$2:$B$100,2,FALSE),""))</f>
        <v/>
      </c>
      <c r="D141" s="3">
        <f>IF(OR(A141="",B141="",C141=""),"",B141*C141)</f>
        <v/>
      </c>
      <c r="E141" s="3">
        <f>IF(D141="","",D141*15%)</f>
        <v/>
      </c>
      <c r="F141" s="2">
        <f>IF(A141="","",IF(C141="","راجع الصنف",""))</f>
        <v/>
      </c>
    </row>
    <row r="142">
      <c r="A142" s="2" t="n"/>
      <c r="B142" s="2" t="n"/>
      <c r="C142" s="3">
        <f>IF(A142="","",IFERROR(VLOOKUP(A142,'الأصناف'!$A$2:$B$100,2,FALSE),""))</f>
        <v/>
      </c>
      <c r="D142" s="3">
        <f>IF(OR(A142="",B142="",C142=""),"",B142*C142)</f>
        <v/>
      </c>
      <c r="E142" s="3">
        <f>IF(D142="","",D142*15%)</f>
        <v/>
      </c>
      <c r="F142" s="2">
        <f>IF(A142="","",IF(C142="","راجع الصنف",""))</f>
        <v/>
      </c>
    </row>
    <row r="143">
      <c r="A143" s="2" t="n"/>
      <c r="B143" s="2" t="n"/>
      <c r="C143" s="3">
        <f>IF(A143="","",IFERROR(VLOOKUP(A143,'الأصناف'!$A$2:$B$100,2,FALSE),""))</f>
        <v/>
      </c>
      <c r="D143" s="3">
        <f>IF(OR(A143="",B143="",C143=""),"",B143*C143)</f>
        <v/>
      </c>
      <c r="E143" s="3">
        <f>IF(D143="","",D143*15%)</f>
        <v/>
      </c>
      <c r="F143" s="2">
        <f>IF(A143="","",IF(C143="","راجع الصنف",""))</f>
        <v/>
      </c>
    </row>
    <row r="144">
      <c r="A144" s="2" t="n"/>
      <c r="B144" s="2" t="n"/>
      <c r="C144" s="3">
        <f>IF(A144="","",IFERROR(VLOOKUP(A144,'الأصناف'!$A$2:$B$100,2,FALSE),""))</f>
        <v/>
      </c>
      <c r="D144" s="3">
        <f>IF(OR(A144="",B144="",C144=""),"",B144*C144)</f>
        <v/>
      </c>
      <c r="E144" s="3">
        <f>IF(D144="","",D144*15%)</f>
        <v/>
      </c>
      <c r="F144" s="2">
        <f>IF(A144="","",IF(C144="","راجع الصنف",""))</f>
        <v/>
      </c>
    </row>
    <row r="145">
      <c r="A145" s="2" t="n"/>
      <c r="B145" s="2" t="n"/>
      <c r="C145" s="3">
        <f>IF(A145="","",IFERROR(VLOOKUP(A145,'الأصناف'!$A$2:$B$100,2,FALSE),""))</f>
        <v/>
      </c>
      <c r="D145" s="3">
        <f>IF(OR(A145="",B145="",C145=""),"",B145*C145)</f>
        <v/>
      </c>
      <c r="E145" s="3">
        <f>IF(D145="","",D145*15%)</f>
        <v/>
      </c>
      <c r="F145" s="2">
        <f>IF(A145="","",IF(C145="","راجع الصنف",""))</f>
        <v/>
      </c>
    </row>
    <row r="146">
      <c r="A146" s="2" t="n"/>
      <c r="B146" s="2" t="n"/>
      <c r="C146" s="3">
        <f>IF(A146="","",IFERROR(VLOOKUP(A146,'الأصناف'!$A$2:$B$100,2,FALSE),""))</f>
        <v/>
      </c>
      <c r="D146" s="3">
        <f>IF(OR(A146="",B146="",C146=""),"",B146*C146)</f>
        <v/>
      </c>
      <c r="E146" s="3">
        <f>IF(D146="","",D146*15%)</f>
        <v/>
      </c>
      <c r="F146" s="2">
        <f>IF(A146="","",IF(C146="","راجع الصنف",""))</f>
        <v/>
      </c>
    </row>
    <row r="147">
      <c r="A147" s="2" t="n"/>
      <c r="B147" s="2" t="n"/>
      <c r="C147" s="3">
        <f>IF(A147="","",IFERROR(VLOOKUP(A147,'الأصناف'!$A$2:$B$100,2,FALSE),""))</f>
        <v/>
      </c>
      <c r="D147" s="3">
        <f>IF(OR(A147="",B147="",C147=""),"",B147*C147)</f>
        <v/>
      </c>
      <c r="E147" s="3">
        <f>IF(D147="","",D147*15%)</f>
        <v/>
      </c>
      <c r="F147" s="2">
        <f>IF(A147="","",IF(C147="","راجع الصنف",""))</f>
        <v/>
      </c>
    </row>
    <row r="148">
      <c r="A148" s="2" t="n"/>
      <c r="B148" s="2" t="n"/>
      <c r="C148" s="3">
        <f>IF(A148="","",IFERROR(VLOOKUP(A148,'الأصناف'!$A$2:$B$100,2,FALSE),""))</f>
        <v/>
      </c>
      <c r="D148" s="3">
        <f>IF(OR(A148="",B148="",C148=""),"",B148*C148)</f>
        <v/>
      </c>
      <c r="E148" s="3">
        <f>IF(D148="","",D148*15%)</f>
        <v/>
      </c>
      <c r="F148" s="2">
        <f>IF(A148="","",IF(C148="","راجع الصنف",""))</f>
        <v/>
      </c>
    </row>
    <row r="149">
      <c r="A149" s="2" t="n"/>
      <c r="B149" s="2" t="n"/>
      <c r="C149" s="3">
        <f>IF(A149="","",IFERROR(VLOOKUP(A149,'الأصناف'!$A$2:$B$100,2,FALSE),""))</f>
        <v/>
      </c>
      <c r="D149" s="3">
        <f>IF(OR(A149="",B149="",C149=""),"",B149*C149)</f>
        <v/>
      </c>
      <c r="E149" s="3">
        <f>IF(D149="","",D149*15%)</f>
        <v/>
      </c>
      <c r="F149" s="2">
        <f>IF(A149="","",IF(C149="","راجع الصنف",""))</f>
        <v/>
      </c>
    </row>
    <row r="150">
      <c r="A150" s="2" t="n"/>
      <c r="B150" s="2" t="n"/>
      <c r="C150" s="3">
        <f>IF(A150="","",IFERROR(VLOOKUP(A150,'الأصناف'!$A$2:$B$100,2,FALSE),""))</f>
        <v/>
      </c>
      <c r="D150" s="3">
        <f>IF(OR(A150="",B150="",C150=""),"",B150*C150)</f>
        <v/>
      </c>
      <c r="E150" s="3">
        <f>IF(D150="","",D150*15%)</f>
        <v/>
      </c>
      <c r="F150" s="2">
        <f>IF(A150="","",IF(C150="","راجع الصنف",""))</f>
        <v/>
      </c>
    </row>
    <row r="151">
      <c r="A151" s="2" t="n"/>
      <c r="B151" s="2" t="n"/>
      <c r="C151" s="3">
        <f>IF(A151="","",IFERROR(VLOOKUP(A151,'الأصناف'!$A$2:$B$100,2,FALSE),""))</f>
        <v/>
      </c>
      <c r="D151" s="3">
        <f>IF(OR(A151="",B151="",C151=""),"",B151*C151)</f>
        <v/>
      </c>
      <c r="E151" s="3">
        <f>IF(D151="","",D151*15%)</f>
        <v/>
      </c>
      <c r="F151" s="2">
        <f>IF(A151="","",IF(C151="","راجع الصنف",""))</f>
        <v/>
      </c>
    </row>
    <row r="152">
      <c r="A152" s="2" t="n"/>
      <c r="B152" s="2" t="n"/>
      <c r="C152" s="3">
        <f>IF(A152="","",IFERROR(VLOOKUP(A152,'الأصناف'!$A$2:$B$100,2,FALSE),""))</f>
        <v/>
      </c>
      <c r="D152" s="3">
        <f>IF(OR(A152="",B152="",C152=""),"",B152*C152)</f>
        <v/>
      </c>
      <c r="E152" s="3">
        <f>IF(D152="","",D152*15%)</f>
        <v/>
      </c>
      <c r="F152" s="2">
        <f>IF(A152="","",IF(C152="","راجع الصنف",""))</f>
        <v/>
      </c>
    </row>
    <row r="153">
      <c r="A153" s="2" t="n"/>
      <c r="B153" s="2" t="n"/>
      <c r="C153" s="3">
        <f>IF(A153="","",IFERROR(VLOOKUP(A153,'الأصناف'!$A$2:$B$100,2,FALSE),""))</f>
        <v/>
      </c>
      <c r="D153" s="3">
        <f>IF(OR(A153="",B153="",C153=""),"",B153*C153)</f>
        <v/>
      </c>
      <c r="E153" s="3">
        <f>IF(D153="","",D153*15%)</f>
        <v/>
      </c>
      <c r="F153" s="2">
        <f>IF(A153="","",IF(C153="","راجع الصنف",""))</f>
        <v/>
      </c>
    </row>
    <row r="154">
      <c r="A154" s="2" t="n"/>
      <c r="B154" s="2" t="n"/>
      <c r="C154" s="3">
        <f>IF(A154="","",IFERROR(VLOOKUP(A154,'الأصناف'!$A$2:$B$100,2,FALSE),""))</f>
        <v/>
      </c>
      <c r="D154" s="3">
        <f>IF(OR(A154="",B154="",C154=""),"",B154*C154)</f>
        <v/>
      </c>
      <c r="E154" s="3">
        <f>IF(D154="","",D154*15%)</f>
        <v/>
      </c>
      <c r="F154" s="2">
        <f>IF(A154="","",IF(C154="","راجع الصنف",""))</f>
        <v/>
      </c>
    </row>
    <row r="155">
      <c r="A155" s="2" t="n"/>
      <c r="B155" s="2" t="n"/>
      <c r="C155" s="3">
        <f>IF(A155="","",IFERROR(VLOOKUP(A155,'الأصناف'!$A$2:$B$100,2,FALSE),""))</f>
        <v/>
      </c>
      <c r="D155" s="3">
        <f>IF(OR(A155="",B155="",C155=""),"",B155*C155)</f>
        <v/>
      </c>
      <c r="E155" s="3">
        <f>IF(D155="","",D155*15%)</f>
        <v/>
      </c>
      <c r="F155" s="2">
        <f>IF(A155="","",IF(C155="","راجع الصنف",""))</f>
        <v/>
      </c>
    </row>
    <row r="156">
      <c r="A156" s="2" t="n"/>
      <c r="B156" s="2" t="n"/>
      <c r="C156" s="3">
        <f>IF(A156="","",IFERROR(VLOOKUP(A156,'الأصناف'!$A$2:$B$100,2,FALSE),""))</f>
        <v/>
      </c>
      <c r="D156" s="3">
        <f>IF(OR(A156="",B156="",C156=""),"",B156*C156)</f>
        <v/>
      </c>
      <c r="E156" s="3">
        <f>IF(D156="","",D156*15%)</f>
        <v/>
      </c>
      <c r="F156" s="2">
        <f>IF(A156="","",IF(C156="","راجع الصنف",""))</f>
        <v/>
      </c>
    </row>
    <row r="157">
      <c r="A157" s="2" t="n"/>
      <c r="B157" s="2" t="n"/>
      <c r="C157" s="3">
        <f>IF(A157="","",IFERROR(VLOOKUP(A157,'الأصناف'!$A$2:$B$100,2,FALSE),""))</f>
        <v/>
      </c>
      <c r="D157" s="3">
        <f>IF(OR(A157="",B157="",C157=""),"",B157*C157)</f>
        <v/>
      </c>
      <c r="E157" s="3">
        <f>IF(D157="","",D157*15%)</f>
        <v/>
      </c>
      <c r="F157" s="2">
        <f>IF(A157="","",IF(C157="","راجع الصنف",""))</f>
        <v/>
      </c>
    </row>
    <row r="158">
      <c r="A158" s="2" t="n"/>
      <c r="B158" s="2" t="n"/>
      <c r="C158" s="3">
        <f>IF(A158="","",IFERROR(VLOOKUP(A158,'الأصناف'!$A$2:$B$100,2,FALSE),""))</f>
        <v/>
      </c>
      <c r="D158" s="3">
        <f>IF(OR(A158="",B158="",C158=""),"",B158*C158)</f>
        <v/>
      </c>
      <c r="E158" s="3">
        <f>IF(D158="","",D158*15%)</f>
        <v/>
      </c>
      <c r="F158" s="2">
        <f>IF(A158="","",IF(C158="","راجع الصنف",""))</f>
        <v/>
      </c>
    </row>
    <row r="159">
      <c r="A159" s="2" t="n"/>
      <c r="B159" s="2" t="n"/>
      <c r="C159" s="3">
        <f>IF(A159="","",IFERROR(VLOOKUP(A159,'الأصناف'!$A$2:$B$100,2,FALSE),""))</f>
        <v/>
      </c>
      <c r="D159" s="3">
        <f>IF(OR(A159="",B159="",C159=""),"",B159*C159)</f>
        <v/>
      </c>
      <c r="E159" s="3">
        <f>IF(D159="","",D159*15%)</f>
        <v/>
      </c>
      <c r="F159" s="2">
        <f>IF(A159="","",IF(C159="","راجع الصنف",""))</f>
        <v/>
      </c>
    </row>
    <row r="160">
      <c r="A160" s="2" t="n"/>
      <c r="B160" s="2" t="n"/>
      <c r="C160" s="3">
        <f>IF(A160="","",IFERROR(VLOOKUP(A160,'الأصناف'!$A$2:$B$100,2,FALSE),""))</f>
        <v/>
      </c>
      <c r="D160" s="3">
        <f>IF(OR(A160="",B160="",C160=""),"",B160*C160)</f>
        <v/>
      </c>
      <c r="E160" s="3">
        <f>IF(D160="","",D160*15%)</f>
        <v/>
      </c>
      <c r="F160" s="2">
        <f>IF(A160="","",IF(C160="","راجع الصنف",""))</f>
        <v/>
      </c>
    </row>
    <row r="161">
      <c r="A161" s="2" t="n"/>
      <c r="B161" s="2" t="n"/>
      <c r="C161" s="3">
        <f>IF(A161="","",IFERROR(VLOOKUP(A161,'الأصناف'!$A$2:$B$100,2,FALSE),""))</f>
        <v/>
      </c>
      <c r="D161" s="3">
        <f>IF(OR(A161="",B161="",C161=""),"",B161*C161)</f>
        <v/>
      </c>
      <c r="E161" s="3">
        <f>IF(D161="","",D161*15%)</f>
        <v/>
      </c>
      <c r="F161" s="2">
        <f>IF(A161="","",IF(C161="","راجع الصنف",""))</f>
        <v/>
      </c>
    </row>
    <row r="162">
      <c r="A162" s="2" t="n"/>
      <c r="B162" s="2" t="n"/>
      <c r="C162" s="3">
        <f>IF(A162="","",IFERROR(VLOOKUP(A162,'الأصناف'!$A$2:$B$100,2,FALSE),""))</f>
        <v/>
      </c>
      <c r="D162" s="3">
        <f>IF(OR(A162="",B162="",C162=""),"",B162*C162)</f>
        <v/>
      </c>
      <c r="E162" s="3">
        <f>IF(D162="","",D162*15%)</f>
        <v/>
      </c>
      <c r="F162" s="2">
        <f>IF(A162="","",IF(C162="","راجع الصنف",""))</f>
        <v/>
      </c>
    </row>
    <row r="163">
      <c r="A163" s="2" t="n"/>
      <c r="B163" s="2" t="n"/>
      <c r="C163" s="3">
        <f>IF(A163="","",IFERROR(VLOOKUP(A163,'الأصناف'!$A$2:$B$100,2,FALSE),""))</f>
        <v/>
      </c>
      <c r="D163" s="3">
        <f>IF(OR(A163="",B163="",C163=""),"",B163*C163)</f>
        <v/>
      </c>
      <c r="E163" s="3">
        <f>IF(D163="","",D163*15%)</f>
        <v/>
      </c>
      <c r="F163" s="2">
        <f>IF(A163="","",IF(C163="","راجع الصنف",""))</f>
        <v/>
      </c>
    </row>
    <row r="164">
      <c r="A164" s="2" t="n"/>
      <c r="B164" s="2" t="n"/>
      <c r="C164" s="3">
        <f>IF(A164="","",IFERROR(VLOOKUP(A164,'الأصناف'!$A$2:$B$100,2,FALSE),""))</f>
        <v/>
      </c>
      <c r="D164" s="3">
        <f>IF(OR(A164="",B164="",C164=""),"",B164*C164)</f>
        <v/>
      </c>
      <c r="E164" s="3">
        <f>IF(D164="","",D164*15%)</f>
        <v/>
      </c>
      <c r="F164" s="2">
        <f>IF(A164="","",IF(C164="","راجع الصنف",""))</f>
        <v/>
      </c>
    </row>
    <row r="165">
      <c r="A165" s="2" t="n"/>
      <c r="B165" s="2" t="n"/>
      <c r="C165" s="3">
        <f>IF(A165="","",IFERROR(VLOOKUP(A165,'الأصناف'!$A$2:$B$100,2,FALSE),""))</f>
        <v/>
      </c>
      <c r="D165" s="3">
        <f>IF(OR(A165="",B165="",C165=""),"",B165*C165)</f>
        <v/>
      </c>
      <c r="E165" s="3">
        <f>IF(D165="","",D165*15%)</f>
        <v/>
      </c>
      <c r="F165" s="2">
        <f>IF(A165="","",IF(C165="","راجع الصنف",""))</f>
        <v/>
      </c>
    </row>
    <row r="166">
      <c r="A166" s="2" t="n"/>
      <c r="B166" s="2" t="n"/>
      <c r="C166" s="3">
        <f>IF(A166="","",IFERROR(VLOOKUP(A166,'الأصناف'!$A$2:$B$100,2,FALSE),""))</f>
        <v/>
      </c>
      <c r="D166" s="3">
        <f>IF(OR(A166="",B166="",C166=""),"",B166*C166)</f>
        <v/>
      </c>
      <c r="E166" s="3">
        <f>IF(D166="","",D166*15%)</f>
        <v/>
      </c>
      <c r="F166" s="2">
        <f>IF(A166="","",IF(C166="","راجع الصنف",""))</f>
        <v/>
      </c>
    </row>
    <row r="167">
      <c r="A167" s="2" t="n"/>
      <c r="B167" s="2" t="n"/>
      <c r="C167" s="3">
        <f>IF(A167="","",IFERROR(VLOOKUP(A167,'الأصناف'!$A$2:$B$100,2,FALSE),""))</f>
        <v/>
      </c>
      <c r="D167" s="3">
        <f>IF(OR(A167="",B167="",C167=""),"",B167*C167)</f>
        <v/>
      </c>
      <c r="E167" s="3">
        <f>IF(D167="","",D167*15%)</f>
        <v/>
      </c>
      <c r="F167" s="2">
        <f>IF(A167="","",IF(C167="","راجع الصنف",""))</f>
        <v/>
      </c>
    </row>
    <row r="168">
      <c r="A168" s="2" t="n"/>
      <c r="B168" s="2" t="n"/>
      <c r="C168" s="3">
        <f>IF(A168="","",IFERROR(VLOOKUP(A168,'الأصناف'!$A$2:$B$100,2,FALSE),""))</f>
        <v/>
      </c>
      <c r="D168" s="3">
        <f>IF(OR(A168="",B168="",C168=""),"",B168*C168)</f>
        <v/>
      </c>
      <c r="E168" s="3">
        <f>IF(D168="","",D168*15%)</f>
        <v/>
      </c>
      <c r="F168" s="2">
        <f>IF(A168="","",IF(C168="","راجع الصنف",""))</f>
        <v/>
      </c>
    </row>
    <row r="169">
      <c r="A169" s="2" t="n"/>
      <c r="B169" s="2" t="n"/>
      <c r="C169" s="3">
        <f>IF(A169="","",IFERROR(VLOOKUP(A169,'الأصناف'!$A$2:$B$100,2,FALSE),""))</f>
        <v/>
      </c>
      <c r="D169" s="3">
        <f>IF(OR(A169="",B169="",C169=""),"",B169*C169)</f>
        <v/>
      </c>
      <c r="E169" s="3">
        <f>IF(D169="","",D169*15%)</f>
        <v/>
      </c>
      <c r="F169" s="2">
        <f>IF(A169="","",IF(C169="","راجع الصنف",""))</f>
        <v/>
      </c>
    </row>
    <row r="170">
      <c r="A170" s="2" t="n"/>
      <c r="B170" s="2" t="n"/>
      <c r="C170" s="3">
        <f>IF(A170="","",IFERROR(VLOOKUP(A170,'الأصناف'!$A$2:$B$100,2,FALSE),""))</f>
        <v/>
      </c>
      <c r="D170" s="3">
        <f>IF(OR(A170="",B170="",C170=""),"",B170*C170)</f>
        <v/>
      </c>
      <c r="E170" s="3">
        <f>IF(D170="","",D170*15%)</f>
        <v/>
      </c>
      <c r="F170" s="2">
        <f>IF(A170="","",IF(C170="","راجع الصنف",""))</f>
        <v/>
      </c>
    </row>
    <row r="171">
      <c r="A171" s="2" t="n"/>
      <c r="B171" s="2" t="n"/>
      <c r="C171" s="3">
        <f>IF(A171="","",IFERROR(VLOOKUP(A171,'الأصناف'!$A$2:$B$100,2,FALSE),""))</f>
        <v/>
      </c>
      <c r="D171" s="3">
        <f>IF(OR(A171="",B171="",C171=""),"",B171*C171)</f>
        <v/>
      </c>
      <c r="E171" s="3">
        <f>IF(D171="","",D171*15%)</f>
        <v/>
      </c>
      <c r="F171" s="2">
        <f>IF(A171="","",IF(C171="","راجع الصنف",""))</f>
        <v/>
      </c>
    </row>
    <row r="172">
      <c r="A172" s="2" t="n"/>
      <c r="B172" s="2" t="n"/>
      <c r="C172" s="3">
        <f>IF(A172="","",IFERROR(VLOOKUP(A172,'الأصناف'!$A$2:$B$100,2,FALSE),""))</f>
        <v/>
      </c>
      <c r="D172" s="3">
        <f>IF(OR(A172="",B172="",C172=""),"",B172*C172)</f>
        <v/>
      </c>
      <c r="E172" s="3">
        <f>IF(D172="","",D172*15%)</f>
        <v/>
      </c>
      <c r="F172" s="2">
        <f>IF(A172="","",IF(C172="","راجع الصنف",""))</f>
        <v/>
      </c>
    </row>
    <row r="173">
      <c r="A173" s="2" t="n"/>
      <c r="B173" s="2" t="n"/>
      <c r="C173" s="3">
        <f>IF(A173="","",IFERROR(VLOOKUP(A173,'الأصناف'!$A$2:$B$100,2,FALSE),""))</f>
        <v/>
      </c>
      <c r="D173" s="3">
        <f>IF(OR(A173="",B173="",C173=""),"",B173*C173)</f>
        <v/>
      </c>
      <c r="E173" s="3">
        <f>IF(D173="","",D173*15%)</f>
        <v/>
      </c>
      <c r="F173" s="2">
        <f>IF(A173="","",IF(C173="","راجع الصنف",""))</f>
        <v/>
      </c>
    </row>
    <row r="174">
      <c r="A174" s="2" t="n"/>
      <c r="B174" s="2" t="n"/>
      <c r="C174" s="3">
        <f>IF(A174="","",IFERROR(VLOOKUP(A174,'الأصناف'!$A$2:$B$100,2,FALSE),""))</f>
        <v/>
      </c>
      <c r="D174" s="3">
        <f>IF(OR(A174="",B174="",C174=""),"",B174*C174)</f>
        <v/>
      </c>
      <c r="E174" s="3">
        <f>IF(D174="","",D174*15%)</f>
        <v/>
      </c>
      <c r="F174" s="2">
        <f>IF(A174="","",IF(C174="","راجع الصنف",""))</f>
        <v/>
      </c>
    </row>
    <row r="175">
      <c r="A175" s="2" t="n"/>
      <c r="B175" s="2" t="n"/>
      <c r="C175" s="3">
        <f>IF(A175="","",IFERROR(VLOOKUP(A175,'الأصناف'!$A$2:$B$100,2,FALSE),""))</f>
        <v/>
      </c>
      <c r="D175" s="3">
        <f>IF(OR(A175="",B175="",C175=""),"",B175*C175)</f>
        <v/>
      </c>
      <c r="E175" s="3">
        <f>IF(D175="","",D175*15%)</f>
        <v/>
      </c>
      <c r="F175" s="2">
        <f>IF(A175="","",IF(C175="","راجع الصنف",""))</f>
        <v/>
      </c>
    </row>
    <row r="176">
      <c r="A176" s="2" t="n"/>
      <c r="B176" s="2" t="n"/>
      <c r="C176" s="3">
        <f>IF(A176="","",IFERROR(VLOOKUP(A176,'الأصناف'!$A$2:$B$100,2,FALSE),""))</f>
        <v/>
      </c>
      <c r="D176" s="3">
        <f>IF(OR(A176="",B176="",C176=""),"",B176*C176)</f>
        <v/>
      </c>
      <c r="E176" s="3">
        <f>IF(D176="","",D176*15%)</f>
        <v/>
      </c>
      <c r="F176" s="2">
        <f>IF(A176="","",IF(C176="","راجع الصنف",""))</f>
        <v/>
      </c>
    </row>
    <row r="177">
      <c r="A177" s="2" t="n"/>
      <c r="B177" s="2" t="n"/>
      <c r="C177" s="3">
        <f>IF(A177="","",IFERROR(VLOOKUP(A177,'الأصناف'!$A$2:$B$100,2,FALSE),""))</f>
        <v/>
      </c>
      <c r="D177" s="3">
        <f>IF(OR(A177="",B177="",C177=""),"",B177*C177)</f>
        <v/>
      </c>
      <c r="E177" s="3">
        <f>IF(D177="","",D177*15%)</f>
        <v/>
      </c>
      <c r="F177" s="2">
        <f>IF(A177="","",IF(C177="","راجع الصنف",""))</f>
        <v/>
      </c>
    </row>
    <row r="178">
      <c r="A178" s="2" t="n"/>
      <c r="B178" s="2" t="n"/>
      <c r="C178" s="3">
        <f>IF(A178="","",IFERROR(VLOOKUP(A178,'الأصناف'!$A$2:$B$100,2,FALSE),""))</f>
        <v/>
      </c>
      <c r="D178" s="3">
        <f>IF(OR(A178="",B178="",C178=""),"",B178*C178)</f>
        <v/>
      </c>
      <c r="E178" s="3">
        <f>IF(D178="","",D178*15%)</f>
        <v/>
      </c>
      <c r="F178" s="2">
        <f>IF(A178="","",IF(C178="","راجع الصنف",""))</f>
        <v/>
      </c>
    </row>
    <row r="179">
      <c r="A179" s="2" t="n"/>
      <c r="B179" s="2" t="n"/>
      <c r="C179" s="3">
        <f>IF(A179="","",IFERROR(VLOOKUP(A179,'الأصناف'!$A$2:$B$100,2,FALSE),""))</f>
        <v/>
      </c>
      <c r="D179" s="3">
        <f>IF(OR(A179="",B179="",C179=""),"",B179*C179)</f>
        <v/>
      </c>
      <c r="E179" s="3">
        <f>IF(D179="","",D179*15%)</f>
        <v/>
      </c>
      <c r="F179" s="2">
        <f>IF(A179="","",IF(C179="","راجع الصنف",""))</f>
        <v/>
      </c>
    </row>
    <row r="180">
      <c r="A180" s="2" t="n"/>
      <c r="B180" s="2" t="n"/>
      <c r="C180" s="3">
        <f>IF(A180="","",IFERROR(VLOOKUP(A180,'الأصناف'!$A$2:$B$100,2,FALSE),""))</f>
        <v/>
      </c>
      <c r="D180" s="3">
        <f>IF(OR(A180="",B180="",C180=""),"",B180*C180)</f>
        <v/>
      </c>
      <c r="E180" s="3">
        <f>IF(D180="","",D180*15%)</f>
        <v/>
      </c>
      <c r="F180" s="2">
        <f>IF(A180="","",IF(C180="","راجع الصنف",""))</f>
        <v/>
      </c>
    </row>
    <row r="181">
      <c r="A181" s="2" t="n"/>
      <c r="B181" s="2" t="n"/>
      <c r="C181" s="3">
        <f>IF(A181="","",IFERROR(VLOOKUP(A181,'الأصناف'!$A$2:$B$100,2,FALSE),""))</f>
        <v/>
      </c>
      <c r="D181" s="3">
        <f>IF(OR(A181="",B181="",C181=""),"",B181*C181)</f>
        <v/>
      </c>
      <c r="E181" s="3">
        <f>IF(D181="","",D181*15%)</f>
        <v/>
      </c>
      <c r="F181" s="2">
        <f>IF(A181="","",IF(C181="","راجع الصنف",""))</f>
        <v/>
      </c>
    </row>
    <row r="182">
      <c r="A182" s="2" t="n"/>
      <c r="B182" s="2" t="n"/>
      <c r="C182" s="3">
        <f>IF(A182="","",IFERROR(VLOOKUP(A182,'الأصناف'!$A$2:$B$100,2,FALSE),""))</f>
        <v/>
      </c>
      <c r="D182" s="3">
        <f>IF(OR(A182="",B182="",C182=""),"",B182*C182)</f>
        <v/>
      </c>
      <c r="E182" s="3">
        <f>IF(D182="","",D182*15%)</f>
        <v/>
      </c>
      <c r="F182" s="2">
        <f>IF(A182="","",IF(C182="","راجع الصنف",""))</f>
        <v/>
      </c>
    </row>
    <row r="183">
      <c r="A183" s="2" t="n"/>
      <c r="B183" s="2" t="n"/>
      <c r="C183" s="3">
        <f>IF(A183="","",IFERROR(VLOOKUP(A183,'الأصناف'!$A$2:$B$100,2,FALSE),""))</f>
        <v/>
      </c>
      <c r="D183" s="3">
        <f>IF(OR(A183="",B183="",C183=""),"",B183*C183)</f>
        <v/>
      </c>
      <c r="E183" s="3">
        <f>IF(D183="","",D183*15%)</f>
        <v/>
      </c>
      <c r="F183" s="2">
        <f>IF(A183="","",IF(C183="","راجع الصنف",""))</f>
        <v/>
      </c>
    </row>
    <row r="184">
      <c r="A184" s="2" t="n"/>
      <c r="B184" s="2" t="n"/>
      <c r="C184" s="3">
        <f>IF(A184="","",IFERROR(VLOOKUP(A184,'الأصناف'!$A$2:$B$100,2,FALSE),""))</f>
        <v/>
      </c>
      <c r="D184" s="3">
        <f>IF(OR(A184="",B184="",C184=""),"",B184*C184)</f>
        <v/>
      </c>
      <c r="E184" s="3">
        <f>IF(D184="","",D184*15%)</f>
        <v/>
      </c>
      <c r="F184" s="2">
        <f>IF(A184="","",IF(C184="","راجع الصنف",""))</f>
        <v/>
      </c>
    </row>
    <row r="185">
      <c r="A185" s="2" t="n"/>
      <c r="B185" s="2" t="n"/>
      <c r="C185" s="3">
        <f>IF(A185="","",IFERROR(VLOOKUP(A185,'الأصناف'!$A$2:$B$100,2,FALSE),""))</f>
        <v/>
      </c>
      <c r="D185" s="3">
        <f>IF(OR(A185="",B185="",C185=""),"",B185*C185)</f>
        <v/>
      </c>
      <c r="E185" s="3">
        <f>IF(D185="","",D185*15%)</f>
        <v/>
      </c>
      <c r="F185" s="2">
        <f>IF(A185="","",IF(C185="","راجع الصنف",""))</f>
        <v/>
      </c>
    </row>
    <row r="186">
      <c r="A186" s="2" t="n"/>
      <c r="B186" s="2" t="n"/>
      <c r="C186" s="3">
        <f>IF(A186="","",IFERROR(VLOOKUP(A186,'الأصناف'!$A$2:$B$100,2,FALSE),""))</f>
        <v/>
      </c>
      <c r="D186" s="3">
        <f>IF(OR(A186="",B186="",C186=""),"",B186*C186)</f>
        <v/>
      </c>
      <c r="E186" s="3">
        <f>IF(D186="","",D186*15%)</f>
        <v/>
      </c>
      <c r="F186" s="2">
        <f>IF(A186="","",IF(C186="","راجع الصنف",""))</f>
        <v/>
      </c>
    </row>
    <row r="187">
      <c r="A187" s="2" t="n"/>
      <c r="B187" s="2" t="n"/>
      <c r="C187" s="3">
        <f>IF(A187="","",IFERROR(VLOOKUP(A187,'الأصناف'!$A$2:$B$100,2,FALSE),""))</f>
        <v/>
      </c>
      <c r="D187" s="3">
        <f>IF(OR(A187="",B187="",C187=""),"",B187*C187)</f>
        <v/>
      </c>
      <c r="E187" s="3">
        <f>IF(D187="","",D187*15%)</f>
        <v/>
      </c>
      <c r="F187" s="2">
        <f>IF(A187="","",IF(C187="","راجع الصنف",""))</f>
        <v/>
      </c>
    </row>
    <row r="188">
      <c r="A188" s="2" t="n"/>
      <c r="B188" s="2" t="n"/>
      <c r="C188" s="3">
        <f>IF(A188="","",IFERROR(VLOOKUP(A188,'الأصناف'!$A$2:$B$100,2,FALSE),""))</f>
        <v/>
      </c>
      <c r="D188" s="3">
        <f>IF(OR(A188="",B188="",C188=""),"",B188*C188)</f>
        <v/>
      </c>
      <c r="E188" s="3">
        <f>IF(D188="","",D188*15%)</f>
        <v/>
      </c>
      <c r="F188" s="2">
        <f>IF(A188="","",IF(C188="","راجع الصنف",""))</f>
        <v/>
      </c>
    </row>
    <row r="189">
      <c r="A189" s="2" t="n"/>
      <c r="B189" s="2" t="n"/>
      <c r="C189" s="3">
        <f>IF(A189="","",IFERROR(VLOOKUP(A189,'الأصناف'!$A$2:$B$100,2,FALSE),""))</f>
        <v/>
      </c>
      <c r="D189" s="3">
        <f>IF(OR(A189="",B189="",C189=""),"",B189*C189)</f>
        <v/>
      </c>
      <c r="E189" s="3">
        <f>IF(D189="","",D189*15%)</f>
        <v/>
      </c>
      <c r="F189" s="2">
        <f>IF(A189="","",IF(C189="","راجع الصنف",""))</f>
        <v/>
      </c>
    </row>
    <row r="190">
      <c r="A190" s="2" t="n"/>
      <c r="B190" s="2" t="n"/>
      <c r="C190" s="3">
        <f>IF(A190="","",IFERROR(VLOOKUP(A190,'الأصناف'!$A$2:$B$100,2,FALSE),""))</f>
        <v/>
      </c>
      <c r="D190" s="3">
        <f>IF(OR(A190="",B190="",C190=""),"",B190*C190)</f>
        <v/>
      </c>
      <c r="E190" s="3">
        <f>IF(D190="","",D190*15%)</f>
        <v/>
      </c>
      <c r="F190" s="2">
        <f>IF(A190="","",IF(C190="","راجع الصنف",""))</f>
        <v/>
      </c>
    </row>
    <row r="191">
      <c r="A191" s="2" t="n"/>
      <c r="B191" s="2" t="n"/>
      <c r="C191" s="3">
        <f>IF(A191="","",IFERROR(VLOOKUP(A191,'الأصناف'!$A$2:$B$100,2,FALSE),""))</f>
        <v/>
      </c>
      <c r="D191" s="3">
        <f>IF(OR(A191="",B191="",C191=""),"",B191*C191)</f>
        <v/>
      </c>
      <c r="E191" s="3">
        <f>IF(D191="","",D191*15%)</f>
        <v/>
      </c>
      <c r="F191" s="2">
        <f>IF(A191="","",IF(C191="","راجع الصنف",""))</f>
        <v/>
      </c>
    </row>
    <row r="192">
      <c r="A192" s="2" t="n"/>
      <c r="B192" s="2" t="n"/>
      <c r="C192" s="3">
        <f>IF(A192="","",IFERROR(VLOOKUP(A192,'الأصناف'!$A$2:$B$100,2,FALSE),""))</f>
        <v/>
      </c>
      <c r="D192" s="3">
        <f>IF(OR(A192="",B192="",C192=""),"",B192*C192)</f>
        <v/>
      </c>
      <c r="E192" s="3">
        <f>IF(D192="","",D192*15%)</f>
        <v/>
      </c>
      <c r="F192" s="2">
        <f>IF(A192="","",IF(C192="","راجع الصنف",""))</f>
        <v/>
      </c>
    </row>
    <row r="193">
      <c r="A193" s="2" t="n"/>
      <c r="B193" s="2" t="n"/>
      <c r="C193" s="3">
        <f>IF(A193="","",IFERROR(VLOOKUP(A193,'الأصناف'!$A$2:$B$100,2,FALSE),""))</f>
        <v/>
      </c>
      <c r="D193" s="3">
        <f>IF(OR(A193="",B193="",C193=""),"",B193*C193)</f>
        <v/>
      </c>
      <c r="E193" s="3">
        <f>IF(D193="","",D193*15%)</f>
        <v/>
      </c>
      <c r="F193" s="2">
        <f>IF(A193="","",IF(C193="","راجع الصنف",""))</f>
        <v/>
      </c>
    </row>
    <row r="194">
      <c r="A194" s="2" t="n"/>
      <c r="B194" s="2" t="n"/>
      <c r="C194" s="3">
        <f>IF(A194="","",IFERROR(VLOOKUP(A194,'الأصناف'!$A$2:$B$100,2,FALSE),""))</f>
        <v/>
      </c>
      <c r="D194" s="3">
        <f>IF(OR(A194="",B194="",C194=""),"",B194*C194)</f>
        <v/>
      </c>
      <c r="E194" s="3">
        <f>IF(D194="","",D194*15%)</f>
        <v/>
      </c>
      <c r="F194" s="2">
        <f>IF(A194="","",IF(C194="","راجع الصنف",""))</f>
        <v/>
      </c>
    </row>
    <row r="195">
      <c r="A195" s="2" t="n"/>
      <c r="B195" s="2" t="n"/>
      <c r="C195" s="3">
        <f>IF(A195="","",IFERROR(VLOOKUP(A195,'الأصناف'!$A$2:$B$100,2,FALSE),""))</f>
        <v/>
      </c>
      <c r="D195" s="3">
        <f>IF(OR(A195="",B195="",C195=""),"",B195*C195)</f>
        <v/>
      </c>
      <c r="E195" s="3">
        <f>IF(D195="","",D195*15%)</f>
        <v/>
      </c>
      <c r="F195" s="2">
        <f>IF(A195="","",IF(C195="","راجع الصنف",""))</f>
        <v/>
      </c>
    </row>
    <row r="196">
      <c r="A196" s="2" t="n"/>
      <c r="B196" s="2" t="n"/>
      <c r="C196" s="3">
        <f>IF(A196="","",IFERROR(VLOOKUP(A196,'الأصناف'!$A$2:$B$100,2,FALSE),""))</f>
        <v/>
      </c>
      <c r="D196" s="3">
        <f>IF(OR(A196="",B196="",C196=""),"",B196*C196)</f>
        <v/>
      </c>
      <c r="E196" s="3">
        <f>IF(D196="","",D196*15%)</f>
        <v/>
      </c>
      <c r="F196" s="2">
        <f>IF(A196="","",IF(C196="","راجع الصنف",""))</f>
        <v/>
      </c>
    </row>
    <row r="197">
      <c r="A197" s="2" t="n"/>
      <c r="B197" s="2" t="n"/>
      <c r="C197" s="3">
        <f>IF(A197="","",IFERROR(VLOOKUP(A197,'الأصناف'!$A$2:$B$100,2,FALSE),""))</f>
        <v/>
      </c>
      <c r="D197" s="3">
        <f>IF(OR(A197="",B197="",C197=""),"",B197*C197)</f>
        <v/>
      </c>
      <c r="E197" s="3">
        <f>IF(D197="","",D197*15%)</f>
        <v/>
      </c>
      <c r="F197" s="2">
        <f>IF(A197="","",IF(C197="","راجع الصنف",""))</f>
        <v/>
      </c>
    </row>
    <row r="198">
      <c r="A198" s="2" t="n"/>
      <c r="B198" s="2" t="n"/>
      <c r="C198" s="3">
        <f>IF(A198="","",IFERROR(VLOOKUP(A198,'الأصناف'!$A$2:$B$100,2,FALSE),""))</f>
        <v/>
      </c>
      <c r="D198" s="3">
        <f>IF(OR(A198="",B198="",C198=""),"",B198*C198)</f>
        <v/>
      </c>
      <c r="E198" s="3">
        <f>IF(D198="","",D198*15%)</f>
        <v/>
      </c>
      <c r="F198" s="2">
        <f>IF(A198="","",IF(C198="","راجع الصنف",""))</f>
        <v/>
      </c>
    </row>
    <row r="199">
      <c r="A199" s="2" t="n"/>
      <c r="B199" s="2" t="n"/>
      <c r="C199" s="3">
        <f>IF(A199="","",IFERROR(VLOOKUP(A199,'الأصناف'!$A$2:$B$100,2,FALSE),""))</f>
        <v/>
      </c>
      <c r="D199" s="3">
        <f>IF(OR(A199="",B199="",C199=""),"",B199*C199)</f>
        <v/>
      </c>
      <c r="E199" s="3">
        <f>IF(D199="","",D199*15%)</f>
        <v/>
      </c>
      <c r="F199" s="2">
        <f>IF(A199="","",IF(C199="","راجع الصنف",""))</f>
        <v/>
      </c>
    </row>
    <row r="200">
      <c r="A200" s="2" t="n"/>
      <c r="B200" s="2" t="n"/>
      <c r="C200" s="3">
        <f>IF(A200="","",IFERROR(VLOOKUP(A200,'الأصناف'!$A$2:$B$100,2,FALSE),""))</f>
        <v/>
      </c>
      <c r="D200" s="3">
        <f>IF(OR(A200="",B200="",C200=""),"",B200*C200)</f>
        <v/>
      </c>
      <c r="E200" s="3">
        <f>IF(D200="","",D200*15%)</f>
        <v/>
      </c>
      <c r="F200" s="2">
        <f>IF(A200="","",IF(C200="","راجع الصنف",""))</f>
        <v/>
      </c>
    </row>
    <row r="201">
      <c r="A201" s="2" t="n"/>
      <c r="B201" s="2" t="n"/>
      <c r="C201" s="3">
        <f>IF(A201="","",IFERROR(VLOOKUP(A201,'الأصناف'!$A$2:$B$100,2,FALSE),""))</f>
        <v/>
      </c>
      <c r="D201" s="3">
        <f>IF(OR(A201="",B201="",C201=""),"",B201*C201)</f>
        <v/>
      </c>
      <c r="E201" s="3">
        <f>IF(D201="","",D201*15%)</f>
        <v/>
      </c>
      <c r="F201" s="2">
        <f>IF(A201="","",IF(C201="","راجع الصنف",""))</f>
        <v/>
      </c>
    </row>
    <row r="202">
      <c r="A202" s="2" t="n"/>
      <c r="B202" s="2" t="n"/>
      <c r="C202" s="3">
        <f>IF(A202="","",IFERROR(VLOOKUP(A202,'الأصناف'!$A$2:$B$100,2,FALSE),""))</f>
        <v/>
      </c>
      <c r="D202" s="3">
        <f>IF(OR(A202="",B202="",C202=""),"",B202*C202)</f>
        <v/>
      </c>
      <c r="E202" s="3">
        <f>IF(D202="","",D202*15%)</f>
        <v/>
      </c>
      <c r="F202" s="2">
        <f>IF(A202="","",IF(C202="","راجع الصنف",""))</f>
        <v/>
      </c>
    </row>
    <row r="203">
      <c r="A203" s="2" t="n"/>
      <c r="B203" s="2" t="n"/>
      <c r="C203" s="3">
        <f>IF(A203="","",IFERROR(VLOOKUP(A203,'الأصناف'!$A$2:$B$100,2,FALSE),""))</f>
        <v/>
      </c>
      <c r="D203" s="3">
        <f>IF(OR(A203="",B203="",C203=""),"",B203*C203)</f>
        <v/>
      </c>
      <c r="E203" s="3">
        <f>IF(D203="","",D203*15%)</f>
        <v/>
      </c>
      <c r="F203" s="2">
        <f>IF(A203="","",IF(C203="","راجع الصنف",""))</f>
        <v/>
      </c>
    </row>
    <row r="204">
      <c r="A204" s="2" t="n"/>
      <c r="B204" s="2" t="n"/>
      <c r="C204" s="3">
        <f>IF(A204="","",IFERROR(VLOOKUP(A204,'الأصناف'!$A$2:$B$100,2,FALSE),""))</f>
        <v/>
      </c>
      <c r="D204" s="3">
        <f>IF(OR(A204="",B204="",C204=""),"",B204*C204)</f>
        <v/>
      </c>
      <c r="E204" s="3">
        <f>IF(D204="","",D204*15%)</f>
        <v/>
      </c>
      <c r="F204" s="2">
        <f>IF(A204="","",IF(C204="","راجع الصنف",""))</f>
        <v/>
      </c>
    </row>
    <row r="205">
      <c r="A205" s="2" t="n"/>
      <c r="B205" s="2" t="n"/>
      <c r="C205" s="3">
        <f>IF(A205="","",IFERROR(VLOOKUP(A205,'الأصناف'!$A$2:$B$100,2,FALSE),""))</f>
        <v/>
      </c>
      <c r="D205" s="3">
        <f>IF(OR(A205="",B205="",C205=""),"",B205*C205)</f>
        <v/>
      </c>
      <c r="E205" s="3">
        <f>IF(D205="","",D205*15%)</f>
        <v/>
      </c>
      <c r="F205" s="2">
        <f>IF(A205="","",IF(C205="","راجع الصنف",""))</f>
        <v/>
      </c>
    </row>
    <row r="206">
      <c r="A206" s="2" t="n"/>
      <c r="B206" s="2" t="n"/>
      <c r="C206" s="3">
        <f>IF(A206="","",IFERROR(VLOOKUP(A206,'الأصناف'!$A$2:$B$100,2,FALSE),""))</f>
        <v/>
      </c>
      <c r="D206" s="3">
        <f>IF(OR(A206="",B206="",C206=""),"",B206*C206)</f>
        <v/>
      </c>
      <c r="E206" s="3">
        <f>IF(D206="","",D206*15%)</f>
        <v/>
      </c>
      <c r="F206" s="2">
        <f>IF(A206="","",IF(C206="","راجع الصنف",""))</f>
        <v/>
      </c>
    </row>
    <row r="207">
      <c r="A207" s="2" t="n"/>
      <c r="B207" s="2" t="n"/>
      <c r="C207" s="3">
        <f>IF(A207="","",IFERROR(VLOOKUP(A207,'الأصناف'!$A$2:$B$100,2,FALSE),""))</f>
        <v/>
      </c>
      <c r="D207" s="3">
        <f>IF(OR(A207="",B207="",C207=""),"",B207*C207)</f>
        <v/>
      </c>
      <c r="E207" s="3">
        <f>IF(D207="","",D207*15%)</f>
        <v/>
      </c>
      <c r="F207" s="2">
        <f>IF(A207="","",IF(C207="","راجع الصنف",""))</f>
        <v/>
      </c>
    </row>
    <row r="208">
      <c r="A208" s="2" t="n"/>
      <c r="B208" s="2" t="n"/>
      <c r="C208" s="3">
        <f>IF(A208="","",IFERROR(VLOOKUP(A208,'الأصناف'!$A$2:$B$100,2,FALSE),""))</f>
        <v/>
      </c>
      <c r="D208" s="3">
        <f>IF(OR(A208="",B208="",C208=""),"",B208*C208)</f>
        <v/>
      </c>
      <c r="E208" s="3">
        <f>IF(D208="","",D208*15%)</f>
        <v/>
      </c>
      <c r="F208" s="2">
        <f>IF(A208="","",IF(C208="","راجع الصنف",""))</f>
        <v/>
      </c>
    </row>
    <row r="209">
      <c r="A209" s="2" t="n"/>
      <c r="B209" s="2" t="n"/>
      <c r="C209" s="3">
        <f>IF(A209="","",IFERROR(VLOOKUP(A209,'الأصناف'!$A$2:$B$100,2,FALSE),""))</f>
        <v/>
      </c>
      <c r="D209" s="3">
        <f>IF(OR(A209="",B209="",C209=""),"",B209*C209)</f>
        <v/>
      </c>
      <c r="E209" s="3">
        <f>IF(D209="","",D209*15%)</f>
        <v/>
      </c>
      <c r="F209" s="2">
        <f>IF(A209="","",IF(C209="","راجع الصنف",""))</f>
        <v/>
      </c>
    </row>
    <row r="210">
      <c r="A210" s="2" t="n"/>
      <c r="B210" s="2" t="n"/>
      <c r="C210" s="3">
        <f>IF(A210="","",IFERROR(VLOOKUP(A210,'الأصناف'!$A$2:$B$100,2,FALSE),""))</f>
        <v/>
      </c>
      <c r="D210" s="3">
        <f>IF(OR(A210="",B210="",C210=""),"",B210*C210)</f>
        <v/>
      </c>
      <c r="E210" s="3">
        <f>IF(D210="","",D210*15%)</f>
        <v/>
      </c>
      <c r="F210" s="2">
        <f>IF(A210="","",IF(C210="","راجع الصنف",""))</f>
        <v/>
      </c>
    </row>
    <row r="211">
      <c r="A211" s="2" t="n"/>
      <c r="B211" s="2" t="n"/>
      <c r="C211" s="3">
        <f>IF(A211="","",IFERROR(VLOOKUP(A211,'الأصناف'!$A$2:$B$100,2,FALSE),""))</f>
        <v/>
      </c>
      <c r="D211" s="3">
        <f>IF(OR(A211="",B211="",C211=""),"",B211*C211)</f>
        <v/>
      </c>
      <c r="E211" s="3">
        <f>IF(D211="","",D211*15%)</f>
        <v/>
      </c>
      <c r="F211" s="2">
        <f>IF(A211="","",IF(C211="","راجع الصنف",""))</f>
        <v/>
      </c>
    </row>
    <row r="212">
      <c r="A212" s="2" t="n"/>
      <c r="B212" s="2" t="n"/>
      <c r="C212" s="3">
        <f>IF(A212="","",IFERROR(VLOOKUP(A212,'الأصناف'!$A$2:$B$100,2,FALSE),""))</f>
        <v/>
      </c>
      <c r="D212" s="3">
        <f>IF(OR(A212="",B212="",C212=""),"",B212*C212)</f>
        <v/>
      </c>
      <c r="E212" s="3">
        <f>IF(D212="","",D212*15%)</f>
        <v/>
      </c>
      <c r="F212" s="2">
        <f>IF(A212="","",IF(C212="","راجع الصنف",""))</f>
        <v/>
      </c>
    </row>
    <row r="213">
      <c r="A213" s="2" t="n"/>
      <c r="B213" s="2" t="n"/>
      <c r="C213" s="3">
        <f>IF(A213="","",IFERROR(VLOOKUP(A213,'الأصناف'!$A$2:$B$100,2,FALSE),""))</f>
        <v/>
      </c>
      <c r="D213" s="3">
        <f>IF(OR(A213="",B213="",C213=""),"",B213*C213)</f>
        <v/>
      </c>
      <c r="E213" s="3">
        <f>IF(D213="","",D213*15%)</f>
        <v/>
      </c>
      <c r="F213" s="2">
        <f>IF(A213="","",IF(C213="","راجع الصنف",""))</f>
        <v/>
      </c>
    </row>
    <row r="214">
      <c r="A214" s="2" t="n"/>
      <c r="B214" s="2" t="n"/>
      <c r="C214" s="3">
        <f>IF(A214="","",IFERROR(VLOOKUP(A214,'الأصناف'!$A$2:$B$100,2,FALSE),""))</f>
        <v/>
      </c>
      <c r="D214" s="3">
        <f>IF(OR(A214="",B214="",C214=""),"",B214*C214)</f>
        <v/>
      </c>
      <c r="E214" s="3">
        <f>IF(D214="","",D214*15%)</f>
        <v/>
      </c>
      <c r="F214" s="2">
        <f>IF(A214="","",IF(C214="","راجع الصنف",""))</f>
        <v/>
      </c>
    </row>
    <row r="215">
      <c r="A215" s="2" t="n"/>
      <c r="B215" s="2" t="n"/>
      <c r="C215" s="3">
        <f>IF(A215="","",IFERROR(VLOOKUP(A215,'الأصناف'!$A$2:$B$100,2,FALSE),""))</f>
        <v/>
      </c>
      <c r="D215" s="3">
        <f>IF(OR(A215="",B215="",C215=""),"",B215*C215)</f>
        <v/>
      </c>
      <c r="E215" s="3">
        <f>IF(D215="","",D215*15%)</f>
        <v/>
      </c>
      <c r="F215" s="2">
        <f>IF(A215="","",IF(C215="","راجع الصنف",""))</f>
        <v/>
      </c>
    </row>
    <row r="216">
      <c r="A216" s="2" t="n"/>
      <c r="B216" s="2" t="n"/>
      <c r="C216" s="3">
        <f>IF(A216="","",IFERROR(VLOOKUP(A216,'الأصناف'!$A$2:$B$100,2,FALSE),""))</f>
        <v/>
      </c>
      <c r="D216" s="3">
        <f>IF(OR(A216="",B216="",C216=""),"",B216*C216)</f>
        <v/>
      </c>
      <c r="E216" s="3">
        <f>IF(D216="","",D216*15%)</f>
        <v/>
      </c>
      <c r="F216" s="2">
        <f>IF(A216="","",IF(C216="","راجع الصنف",""))</f>
        <v/>
      </c>
    </row>
    <row r="217">
      <c r="A217" s="2" t="n"/>
      <c r="B217" s="2" t="n"/>
      <c r="C217" s="3">
        <f>IF(A217="","",IFERROR(VLOOKUP(A217,'الأصناف'!$A$2:$B$100,2,FALSE),""))</f>
        <v/>
      </c>
      <c r="D217" s="3">
        <f>IF(OR(A217="",B217="",C217=""),"",B217*C217)</f>
        <v/>
      </c>
      <c r="E217" s="3">
        <f>IF(D217="","",D217*15%)</f>
        <v/>
      </c>
      <c r="F217" s="2">
        <f>IF(A217="","",IF(C217="","راجع الصنف",""))</f>
        <v/>
      </c>
    </row>
    <row r="218">
      <c r="A218" s="2" t="n"/>
      <c r="B218" s="2" t="n"/>
      <c r="C218" s="3">
        <f>IF(A218="","",IFERROR(VLOOKUP(A218,'الأصناف'!$A$2:$B$100,2,FALSE),""))</f>
        <v/>
      </c>
      <c r="D218" s="3">
        <f>IF(OR(A218="",B218="",C218=""),"",B218*C218)</f>
        <v/>
      </c>
      <c r="E218" s="3">
        <f>IF(D218="","",D218*15%)</f>
        <v/>
      </c>
      <c r="F218" s="2">
        <f>IF(A218="","",IF(C218="","راجع الصنف",""))</f>
        <v/>
      </c>
    </row>
    <row r="219">
      <c r="A219" s="2" t="n"/>
      <c r="B219" s="2" t="n"/>
      <c r="C219" s="3">
        <f>IF(A219="","",IFERROR(VLOOKUP(A219,'الأصناف'!$A$2:$B$100,2,FALSE),""))</f>
        <v/>
      </c>
      <c r="D219" s="3">
        <f>IF(OR(A219="",B219="",C219=""),"",B219*C219)</f>
        <v/>
      </c>
      <c r="E219" s="3">
        <f>IF(D219="","",D219*15%)</f>
        <v/>
      </c>
      <c r="F219" s="2">
        <f>IF(A219="","",IF(C219="","راجع الصنف",""))</f>
        <v/>
      </c>
    </row>
    <row r="220">
      <c r="A220" s="2" t="n"/>
      <c r="B220" s="2" t="n"/>
      <c r="C220" s="3">
        <f>IF(A220="","",IFERROR(VLOOKUP(A220,'الأصناف'!$A$2:$B$100,2,FALSE),""))</f>
        <v/>
      </c>
      <c r="D220" s="3">
        <f>IF(OR(A220="",B220="",C220=""),"",B220*C220)</f>
        <v/>
      </c>
      <c r="E220" s="3">
        <f>IF(D220="","",D220*15%)</f>
        <v/>
      </c>
      <c r="F220" s="2">
        <f>IF(A220="","",IF(C220="","راجع الصنف",""))</f>
        <v/>
      </c>
    </row>
    <row r="221">
      <c r="A221" s="2" t="n"/>
      <c r="B221" s="2" t="n"/>
      <c r="C221" s="3">
        <f>IF(A221="","",IFERROR(VLOOKUP(A221,'الأصناف'!$A$2:$B$100,2,FALSE),""))</f>
        <v/>
      </c>
      <c r="D221" s="3">
        <f>IF(OR(A221="",B221="",C221=""),"",B221*C221)</f>
        <v/>
      </c>
      <c r="E221" s="3">
        <f>IF(D221="","",D221*15%)</f>
        <v/>
      </c>
      <c r="F221" s="2">
        <f>IF(A221="","",IF(C221="","راجع الصنف",""))</f>
        <v/>
      </c>
    </row>
    <row r="222">
      <c r="A222" s="2" t="n"/>
      <c r="B222" s="2" t="n"/>
      <c r="C222" s="3">
        <f>IF(A222="","",IFERROR(VLOOKUP(A222,'الأصناف'!$A$2:$B$100,2,FALSE),""))</f>
        <v/>
      </c>
      <c r="D222" s="3">
        <f>IF(OR(A222="",B222="",C222=""),"",B222*C222)</f>
        <v/>
      </c>
      <c r="E222" s="3">
        <f>IF(D222="","",D222*15%)</f>
        <v/>
      </c>
      <c r="F222" s="2">
        <f>IF(A222="","",IF(C222="","راجع الصنف",""))</f>
        <v/>
      </c>
    </row>
    <row r="223">
      <c r="A223" s="2" t="n"/>
      <c r="B223" s="2" t="n"/>
      <c r="C223" s="3">
        <f>IF(A223="","",IFERROR(VLOOKUP(A223,'الأصناف'!$A$2:$B$100,2,FALSE),""))</f>
        <v/>
      </c>
      <c r="D223" s="3">
        <f>IF(OR(A223="",B223="",C223=""),"",B223*C223)</f>
        <v/>
      </c>
      <c r="E223" s="3">
        <f>IF(D223="","",D223*15%)</f>
        <v/>
      </c>
      <c r="F223" s="2">
        <f>IF(A223="","",IF(C223="","راجع الصنف",""))</f>
        <v/>
      </c>
    </row>
    <row r="224">
      <c r="A224" s="2" t="n"/>
      <c r="B224" s="2" t="n"/>
      <c r="C224" s="3">
        <f>IF(A224="","",IFERROR(VLOOKUP(A224,'الأصناف'!$A$2:$B$100,2,FALSE),""))</f>
        <v/>
      </c>
      <c r="D224" s="3">
        <f>IF(OR(A224="",B224="",C224=""),"",B224*C224)</f>
        <v/>
      </c>
      <c r="E224" s="3">
        <f>IF(D224="","",D224*15%)</f>
        <v/>
      </c>
      <c r="F224" s="2">
        <f>IF(A224="","",IF(C224="","راجع الصنف",""))</f>
        <v/>
      </c>
    </row>
    <row r="225">
      <c r="A225" s="2" t="n"/>
      <c r="B225" s="2" t="n"/>
      <c r="C225" s="3">
        <f>IF(A225="","",IFERROR(VLOOKUP(A225,'الأصناف'!$A$2:$B$100,2,FALSE),""))</f>
        <v/>
      </c>
      <c r="D225" s="3">
        <f>IF(OR(A225="",B225="",C225=""),"",B225*C225)</f>
        <v/>
      </c>
      <c r="E225" s="3">
        <f>IF(D225="","",D225*15%)</f>
        <v/>
      </c>
      <c r="F225" s="2">
        <f>IF(A225="","",IF(C225="","راجع الصنف",""))</f>
        <v/>
      </c>
    </row>
    <row r="226">
      <c r="A226" s="2" t="n"/>
      <c r="B226" s="2" t="n"/>
      <c r="C226" s="3">
        <f>IF(A226="","",IFERROR(VLOOKUP(A226,'الأصناف'!$A$2:$B$100,2,FALSE),""))</f>
        <v/>
      </c>
      <c r="D226" s="3">
        <f>IF(OR(A226="",B226="",C226=""),"",B226*C226)</f>
        <v/>
      </c>
      <c r="E226" s="3">
        <f>IF(D226="","",D226*15%)</f>
        <v/>
      </c>
      <c r="F226" s="2">
        <f>IF(A226="","",IF(C226="","راجع الصنف",""))</f>
        <v/>
      </c>
    </row>
    <row r="227">
      <c r="A227" s="2" t="n"/>
      <c r="B227" s="2" t="n"/>
      <c r="C227" s="3">
        <f>IF(A227="","",IFERROR(VLOOKUP(A227,'الأصناف'!$A$2:$B$100,2,FALSE),""))</f>
        <v/>
      </c>
      <c r="D227" s="3">
        <f>IF(OR(A227="",B227="",C227=""),"",B227*C227)</f>
        <v/>
      </c>
      <c r="E227" s="3">
        <f>IF(D227="","",D227*15%)</f>
        <v/>
      </c>
      <c r="F227" s="2">
        <f>IF(A227="","",IF(C227="","راجع الصنف",""))</f>
        <v/>
      </c>
    </row>
    <row r="228">
      <c r="A228" s="2" t="n"/>
      <c r="B228" s="2" t="n"/>
      <c r="C228" s="3">
        <f>IF(A228="","",IFERROR(VLOOKUP(A228,'الأصناف'!$A$2:$B$100,2,FALSE),""))</f>
        <v/>
      </c>
      <c r="D228" s="3">
        <f>IF(OR(A228="",B228="",C228=""),"",B228*C228)</f>
        <v/>
      </c>
      <c r="E228" s="3">
        <f>IF(D228="","",D228*15%)</f>
        <v/>
      </c>
      <c r="F228" s="2">
        <f>IF(A228="","",IF(C228="","راجع الصنف",""))</f>
        <v/>
      </c>
    </row>
    <row r="229">
      <c r="A229" s="2" t="n"/>
      <c r="B229" s="2" t="n"/>
      <c r="C229" s="3">
        <f>IF(A229="","",IFERROR(VLOOKUP(A229,'الأصناف'!$A$2:$B$100,2,FALSE),""))</f>
        <v/>
      </c>
      <c r="D229" s="3">
        <f>IF(OR(A229="",B229="",C229=""),"",B229*C229)</f>
        <v/>
      </c>
      <c r="E229" s="3">
        <f>IF(D229="","",D229*15%)</f>
        <v/>
      </c>
      <c r="F229" s="2">
        <f>IF(A229="","",IF(C229="","راجع الصنف",""))</f>
        <v/>
      </c>
    </row>
    <row r="230">
      <c r="A230" s="2" t="n"/>
      <c r="B230" s="2" t="n"/>
      <c r="C230" s="3">
        <f>IF(A230="","",IFERROR(VLOOKUP(A230,'الأصناف'!$A$2:$B$100,2,FALSE),""))</f>
        <v/>
      </c>
      <c r="D230" s="3">
        <f>IF(OR(A230="",B230="",C230=""),"",B230*C230)</f>
        <v/>
      </c>
      <c r="E230" s="3">
        <f>IF(D230="","",D230*15%)</f>
        <v/>
      </c>
      <c r="F230" s="2">
        <f>IF(A230="","",IF(C230="","راجع الصنف",""))</f>
        <v/>
      </c>
    </row>
    <row r="231">
      <c r="A231" s="2" t="n"/>
      <c r="B231" s="2" t="n"/>
      <c r="C231" s="3">
        <f>IF(A231="","",IFERROR(VLOOKUP(A231,'الأصناف'!$A$2:$B$100,2,FALSE),""))</f>
        <v/>
      </c>
      <c r="D231" s="3">
        <f>IF(OR(A231="",B231="",C231=""),"",B231*C231)</f>
        <v/>
      </c>
      <c r="E231" s="3">
        <f>IF(D231="","",D231*15%)</f>
        <v/>
      </c>
      <c r="F231" s="2">
        <f>IF(A231="","",IF(C231="","راجع الصنف",""))</f>
        <v/>
      </c>
    </row>
    <row r="232">
      <c r="A232" s="2" t="n"/>
      <c r="B232" s="2" t="n"/>
      <c r="C232" s="3">
        <f>IF(A232="","",IFERROR(VLOOKUP(A232,'الأصناف'!$A$2:$B$100,2,FALSE),""))</f>
        <v/>
      </c>
      <c r="D232" s="3">
        <f>IF(OR(A232="",B232="",C232=""),"",B232*C232)</f>
        <v/>
      </c>
      <c r="E232" s="3">
        <f>IF(D232="","",D232*15%)</f>
        <v/>
      </c>
      <c r="F232" s="2">
        <f>IF(A232="","",IF(C232="","راجع الصنف",""))</f>
        <v/>
      </c>
    </row>
    <row r="233">
      <c r="A233" s="2" t="n"/>
      <c r="B233" s="2" t="n"/>
      <c r="C233" s="3">
        <f>IF(A233="","",IFERROR(VLOOKUP(A233,'الأصناف'!$A$2:$B$100,2,FALSE),""))</f>
        <v/>
      </c>
      <c r="D233" s="3">
        <f>IF(OR(A233="",B233="",C233=""),"",B233*C233)</f>
        <v/>
      </c>
      <c r="E233" s="3">
        <f>IF(D233="","",D233*15%)</f>
        <v/>
      </c>
      <c r="F233" s="2">
        <f>IF(A233="","",IF(C233="","راجع الصنف",""))</f>
        <v/>
      </c>
    </row>
    <row r="234">
      <c r="A234" s="2" t="n"/>
      <c r="B234" s="2" t="n"/>
      <c r="C234" s="3">
        <f>IF(A234="","",IFERROR(VLOOKUP(A234,'الأصناف'!$A$2:$B$100,2,FALSE),""))</f>
        <v/>
      </c>
      <c r="D234" s="3">
        <f>IF(OR(A234="",B234="",C234=""),"",B234*C234)</f>
        <v/>
      </c>
      <c r="E234" s="3">
        <f>IF(D234="","",D234*15%)</f>
        <v/>
      </c>
      <c r="F234" s="2">
        <f>IF(A234="","",IF(C234="","راجع الصنف",""))</f>
        <v/>
      </c>
    </row>
    <row r="235">
      <c r="A235" s="2" t="n"/>
      <c r="B235" s="2" t="n"/>
      <c r="C235" s="3">
        <f>IF(A235="","",IFERROR(VLOOKUP(A235,'الأصناف'!$A$2:$B$100,2,FALSE),""))</f>
        <v/>
      </c>
      <c r="D235" s="3">
        <f>IF(OR(A235="",B235="",C235=""),"",B235*C235)</f>
        <v/>
      </c>
      <c r="E235" s="3">
        <f>IF(D235="","",D235*15%)</f>
        <v/>
      </c>
      <c r="F235" s="2">
        <f>IF(A235="","",IF(C235="","راجع الصنف",""))</f>
        <v/>
      </c>
    </row>
    <row r="236">
      <c r="A236" s="2" t="n"/>
      <c r="B236" s="2" t="n"/>
      <c r="C236" s="3">
        <f>IF(A236="","",IFERROR(VLOOKUP(A236,'الأصناف'!$A$2:$B$100,2,FALSE),""))</f>
        <v/>
      </c>
      <c r="D236" s="3">
        <f>IF(OR(A236="",B236="",C236=""),"",B236*C236)</f>
        <v/>
      </c>
      <c r="E236" s="3">
        <f>IF(D236="","",D236*15%)</f>
        <v/>
      </c>
      <c r="F236" s="2">
        <f>IF(A236="","",IF(C236="","راجع الصنف",""))</f>
        <v/>
      </c>
    </row>
    <row r="237">
      <c r="A237" s="2" t="n"/>
      <c r="B237" s="2" t="n"/>
      <c r="C237" s="3">
        <f>IF(A237="","",IFERROR(VLOOKUP(A237,'الأصناف'!$A$2:$B$100,2,FALSE),""))</f>
        <v/>
      </c>
      <c r="D237" s="3">
        <f>IF(OR(A237="",B237="",C237=""),"",B237*C237)</f>
        <v/>
      </c>
      <c r="E237" s="3">
        <f>IF(D237="","",D237*15%)</f>
        <v/>
      </c>
      <c r="F237" s="2">
        <f>IF(A237="","",IF(C237="","راجع الصنف",""))</f>
        <v/>
      </c>
    </row>
    <row r="238">
      <c r="A238" s="2" t="n"/>
      <c r="B238" s="2" t="n"/>
      <c r="C238" s="3">
        <f>IF(A238="","",IFERROR(VLOOKUP(A238,'الأصناف'!$A$2:$B$100,2,FALSE),""))</f>
        <v/>
      </c>
      <c r="D238" s="3">
        <f>IF(OR(A238="",B238="",C238=""),"",B238*C238)</f>
        <v/>
      </c>
      <c r="E238" s="3">
        <f>IF(D238="","",D238*15%)</f>
        <v/>
      </c>
      <c r="F238" s="2">
        <f>IF(A238="","",IF(C238="","راجع الصنف",""))</f>
        <v/>
      </c>
    </row>
    <row r="239">
      <c r="A239" s="2" t="n"/>
      <c r="B239" s="2" t="n"/>
      <c r="C239" s="3">
        <f>IF(A239="","",IFERROR(VLOOKUP(A239,'الأصناف'!$A$2:$B$100,2,FALSE),""))</f>
        <v/>
      </c>
      <c r="D239" s="3">
        <f>IF(OR(A239="",B239="",C239=""),"",B239*C239)</f>
        <v/>
      </c>
      <c r="E239" s="3">
        <f>IF(D239="","",D239*15%)</f>
        <v/>
      </c>
      <c r="F239" s="2">
        <f>IF(A239="","",IF(C239="","راجع الصنف",""))</f>
        <v/>
      </c>
    </row>
    <row r="240">
      <c r="A240" s="2" t="n"/>
      <c r="B240" s="2" t="n"/>
      <c r="C240" s="3">
        <f>IF(A240="","",IFERROR(VLOOKUP(A240,'الأصناف'!$A$2:$B$100,2,FALSE),""))</f>
        <v/>
      </c>
      <c r="D240" s="3">
        <f>IF(OR(A240="",B240="",C240=""),"",B240*C240)</f>
        <v/>
      </c>
      <c r="E240" s="3">
        <f>IF(D240="","",D240*15%)</f>
        <v/>
      </c>
      <c r="F240" s="2">
        <f>IF(A240="","",IF(C240="","راجع الصنف",""))</f>
        <v/>
      </c>
    </row>
    <row r="241">
      <c r="A241" s="2" t="n"/>
      <c r="B241" s="2" t="n"/>
      <c r="C241" s="3">
        <f>IF(A241="","",IFERROR(VLOOKUP(A241,'الأصناف'!$A$2:$B$100,2,FALSE),""))</f>
        <v/>
      </c>
      <c r="D241" s="3">
        <f>IF(OR(A241="",B241="",C241=""),"",B241*C241)</f>
        <v/>
      </c>
      <c r="E241" s="3">
        <f>IF(D241="","",D241*15%)</f>
        <v/>
      </c>
      <c r="F241" s="2">
        <f>IF(A241="","",IF(C241="","راجع الصنف",""))</f>
        <v/>
      </c>
    </row>
    <row r="242">
      <c r="A242" s="2" t="n"/>
      <c r="B242" s="2" t="n"/>
      <c r="C242" s="3">
        <f>IF(A242="","",IFERROR(VLOOKUP(A242,'الأصناف'!$A$2:$B$100,2,FALSE),""))</f>
        <v/>
      </c>
      <c r="D242" s="3">
        <f>IF(OR(A242="",B242="",C242=""),"",B242*C242)</f>
        <v/>
      </c>
      <c r="E242" s="3">
        <f>IF(D242="","",D242*15%)</f>
        <v/>
      </c>
      <c r="F242" s="2">
        <f>IF(A242="","",IF(C242="","راجع الصنف",""))</f>
        <v/>
      </c>
    </row>
    <row r="243">
      <c r="A243" s="2" t="n"/>
      <c r="B243" s="2" t="n"/>
      <c r="C243" s="3">
        <f>IF(A243="","",IFERROR(VLOOKUP(A243,'الأصناف'!$A$2:$B$100,2,FALSE),""))</f>
        <v/>
      </c>
      <c r="D243" s="3">
        <f>IF(OR(A243="",B243="",C243=""),"",B243*C243)</f>
        <v/>
      </c>
      <c r="E243" s="3">
        <f>IF(D243="","",D243*15%)</f>
        <v/>
      </c>
      <c r="F243" s="2">
        <f>IF(A243="","",IF(C243="","راجع الصنف",""))</f>
        <v/>
      </c>
    </row>
    <row r="244">
      <c r="A244" s="2" t="n"/>
      <c r="B244" s="2" t="n"/>
      <c r="C244" s="3">
        <f>IF(A244="","",IFERROR(VLOOKUP(A244,'الأصناف'!$A$2:$B$100,2,FALSE),""))</f>
        <v/>
      </c>
      <c r="D244" s="3">
        <f>IF(OR(A244="",B244="",C244=""),"",B244*C244)</f>
        <v/>
      </c>
      <c r="E244" s="3">
        <f>IF(D244="","",D244*15%)</f>
        <v/>
      </c>
      <c r="F244" s="2">
        <f>IF(A244="","",IF(C244="","راجع الصنف",""))</f>
        <v/>
      </c>
    </row>
    <row r="245">
      <c r="A245" s="2" t="n"/>
      <c r="B245" s="2" t="n"/>
      <c r="C245" s="3">
        <f>IF(A245="","",IFERROR(VLOOKUP(A245,'الأصناف'!$A$2:$B$100,2,FALSE),""))</f>
        <v/>
      </c>
      <c r="D245" s="3">
        <f>IF(OR(A245="",B245="",C245=""),"",B245*C245)</f>
        <v/>
      </c>
      <c r="E245" s="3">
        <f>IF(D245="","",D245*15%)</f>
        <v/>
      </c>
      <c r="F245" s="2">
        <f>IF(A245="","",IF(C245="","راجع الصنف",""))</f>
        <v/>
      </c>
    </row>
    <row r="246">
      <c r="A246" s="2" t="n"/>
      <c r="B246" s="2" t="n"/>
      <c r="C246" s="3">
        <f>IF(A246="","",IFERROR(VLOOKUP(A246,'الأصناف'!$A$2:$B$100,2,FALSE),""))</f>
        <v/>
      </c>
      <c r="D246" s="3">
        <f>IF(OR(A246="",B246="",C246=""),"",B246*C246)</f>
        <v/>
      </c>
      <c r="E246" s="3">
        <f>IF(D246="","",D246*15%)</f>
        <v/>
      </c>
      <c r="F246" s="2">
        <f>IF(A246="","",IF(C246="","راجع الصنف",""))</f>
        <v/>
      </c>
    </row>
    <row r="247">
      <c r="A247" s="2" t="n"/>
      <c r="B247" s="2" t="n"/>
      <c r="C247" s="3">
        <f>IF(A247="","",IFERROR(VLOOKUP(A247,'الأصناف'!$A$2:$B$100,2,FALSE),""))</f>
        <v/>
      </c>
      <c r="D247" s="3">
        <f>IF(OR(A247="",B247="",C247=""),"",B247*C247)</f>
        <v/>
      </c>
      <c r="E247" s="3">
        <f>IF(D247="","",D247*15%)</f>
        <v/>
      </c>
      <c r="F247" s="2">
        <f>IF(A247="","",IF(C247="","راجع الصنف",""))</f>
        <v/>
      </c>
    </row>
    <row r="248">
      <c r="A248" s="2" t="n"/>
      <c r="B248" s="2" t="n"/>
      <c r="C248" s="3">
        <f>IF(A248="","",IFERROR(VLOOKUP(A248,'الأصناف'!$A$2:$B$100,2,FALSE),""))</f>
        <v/>
      </c>
      <c r="D248" s="3">
        <f>IF(OR(A248="",B248="",C248=""),"",B248*C248)</f>
        <v/>
      </c>
      <c r="E248" s="3">
        <f>IF(D248="","",D248*15%)</f>
        <v/>
      </c>
      <c r="F248" s="2">
        <f>IF(A248="","",IF(C248="","راجع الصنف",""))</f>
        <v/>
      </c>
    </row>
    <row r="249">
      <c r="A249" s="2" t="n"/>
      <c r="B249" s="2" t="n"/>
      <c r="C249" s="3">
        <f>IF(A249="","",IFERROR(VLOOKUP(A249,'الأصناف'!$A$2:$B$100,2,FALSE),""))</f>
        <v/>
      </c>
      <c r="D249" s="3">
        <f>IF(OR(A249="",B249="",C249=""),"",B249*C249)</f>
        <v/>
      </c>
      <c r="E249" s="3">
        <f>IF(D249="","",D249*15%)</f>
        <v/>
      </c>
      <c r="F249" s="2">
        <f>IF(A249="","",IF(C249="","راجع الصنف",""))</f>
        <v/>
      </c>
    </row>
    <row r="250">
      <c r="A250" s="2" t="n"/>
      <c r="B250" s="2" t="n"/>
      <c r="C250" s="3">
        <f>IF(A250="","",IFERROR(VLOOKUP(A250,'الأصناف'!$A$2:$B$100,2,FALSE),""))</f>
        <v/>
      </c>
      <c r="D250" s="3">
        <f>IF(OR(A250="",B250="",C250=""),"",B250*C250)</f>
        <v/>
      </c>
      <c r="E250" s="3">
        <f>IF(D250="","",D250*15%)</f>
        <v/>
      </c>
      <c r="F250" s="2">
        <f>IF(A250="","",IF(C250="","راجع الصنف",""))</f>
        <v/>
      </c>
    </row>
    <row r="251">
      <c r="A251" s="2" t="n"/>
      <c r="B251" s="2" t="n"/>
      <c r="C251" s="3">
        <f>IF(A251="","",IFERROR(VLOOKUP(A251,'الأصناف'!$A$2:$B$100,2,FALSE),""))</f>
        <v/>
      </c>
      <c r="D251" s="3">
        <f>IF(OR(A251="",B251="",C251=""),"",B251*C251)</f>
        <v/>
      </c>
      <c r="E251" s="3">
        <f>IF(D251="","",D251*15%)</f>
        <v/>
      </c>
      <c r="F251" s="2">
        <f>IF(A251="","",IF(C251="","راجع الصنف",""))</f>
        <v/>
      </c>
    </row>
    <row r="252">
      <c r="A252" s="2" t="n"/>
      <c r="B252" s="2" t="n"/>
      <c r="C252" s="3">
        <f>IF(A252="","",IFERROR(VLOOKUP(A252,'الأصناف'!$A$2:$B$100,2,FALSE),""))</f>
        <v/>
      </c>
      <c r="D252" s="3">
        <f>IF(OR(A252="",B252="",C252=""),"",B252*C252)</f>
        <v/>
      </c>
      <c r="E252" s="3">
        <f>IF(D252="","",D252*15%)</f>
        <v/>
      </c>
      <c r="F252" s="2">
        <f>IF(A252="","",IF(C252="","راجع الصنف",""))</f>
        <v/>
      </c>
    </row>
    <row r="253">
      <c r="A253" s="2" t="n"/>
      <c r="B253" s="2" t="n"/>
      <c r="C253" s="3">
        <f>IF(A253="","",IFERROR(VLOOKUP(A253,'الأصناف'!$A$2:$B$100,2,FALSE),""))</f>
        <v/>
      </c>
      <c r="D253" s="3">
        <f>IF(OR(A253="",B253="",C253=""),"",B253*C253)</f>
        <v/>
      </c>
      <c r="E253" s="3">
        <f>IF(D253="","",D253*15%)</f>
        <v/>
      </c>
      <c r="F253" s="2">
        <f>IF(A253="","",IF(C253="","راجع الصنف",""))</f>
        <v/>
      </c>
    </row>
    <row r="254">
      <c r="A254" s="2" t="n"/>
      <c r="B254" s="2" t="n"/>
      <c r="C254" s="3">
        <f>IF(A254="","",IFERROR(VLOOKUP(A254,'الأصناف'!$A$2:$B$100,2,FALSE),""))</f>
        <v/>
      </c>
      <c r="D254" s="3">
        <f>IF(OR(A254="",B254="",C254=""),"",B254*C254)</f>
        <v/>
      </c>
      <c r="E254" s="3">
        <f>IF(D254="","",D254*15%)</f>
        <v/>
      </c>
      <c r="F254" s="2">
        <f>IF(A254="","",IF(C254="","راجع الصنف",""))</f>
        <v/>
      </c>
    </row>
    <row r="255">
      <c r="A255" s="2" t="n"/>
      <c r="B255" s="2" t="n"/>
      <c r="C255" s="3">
        <f>IF(A255="","",IFERROR(VLOOKUP(A255,'الأصناف'!$A$2:$B$100,2,FALSE),""))</f>
        <v/>
      </c>
      <c r="D255" s="3">
        <f>IF(OR(A255="",B255="",C255=""),"",B255*C255)</f>
        <v/>
      </c>
      <c r="E255" s="3">
        <f>IF(D255="","",D255*15%)</f>
        <v/>
      </c>
      <c r="F255" s="2">
        <f>IF(A255="","",IF(C255="","راجع الصنف",""))</f>
        <v/>
      </c>
    </row>
    <row r="256">
      <c r="A256" s="2" t="n"/>
      <c r="B256" s="2" t="n"/>
      <c r="C256" s="3">
        <f>IF(A256="","",IFERROR(VLOOKUP(A256,'الأصناف'!$A$2:$B$100,2,FALSE),""))</f>
        <v/>
      </c>
      <c r="D256" s="3">
        <f>IF(OR(A256="",B256="",C256=""),"",B256*C256)</f>
        <v/>
      </c>
      <c r="E256" s="3">
        <f>IF(D256="","",D256*15%)</f>
        <v/>
      </c>
      <c r="F256" s="2">
        <f>IF(A256="","",IF(C256="","راجع الصنف",""))</f>
        <v/>
      </c>
    </row>
    <row r="257">
      <c r="A257" s="2" t="n"/>
      <c r="B257" s="2" t="n"/>
      <c r="C257" s="3">
        <f>IF(A257="","",IFERROR(VLOOKUP(A257,'الأصناف'!$A$2:$B$100,2,FALSE),""))</f>
        <v/>
      </c>
      <c r="D257" s="3">
        <f>IF(OR(A257="",B257="",C257=""),"",B257*C257)</f>
        <v/>
      </c>
      <c r="E257" s="3">
        <f>IF(D257="","",D257*15%)</f>
        <v/>
      </c>
      <c r="F257" s="2">
        <f>IF(A257="","",IF(C257="","راجع الصنف",""))</f>
        <v/>
      </c>
    </row>
    <row r="258">
      <c r="A258" s="2" t="n"/>
      <c r="B258" s="2" t="n"/>
      <c r="C258" s="3">
        <f>IF(A258="","",IFERROR(VLOOKUP(A258,'الأصناف'!$A$2:$B$100,2,FALSE),""))</f>
        <v/>
      </c>
      <c r="D258" s="3">
        <f>IF(OR(A258="",B258="",C258=""),"",B258*C258)</f>
        <v/>
      </c>
      <c r="E258" s="3">
        <f>IF(D258="","",D258*15%)</f>
        <v/>
      </c>
      <c r="F258" s="2">
        <f>IF(A258="","",IF(C258="","راجع الصنف",""))</f>
        <v/>
      </c>
    </row>
    <row r="259">
      <c r="A259" s="2" t="n"/>
      <c r="B259" s="2" t="n"/>
      <c r="C259" s="3">
        <f>IF(A259="","",IFERROR(VLOOKUP(A259,'الأصناف'!$A$2:$B$100,2,FALSE),""))</f>
        <v/>
      </c>
      <c r="D259" s="3">
        <f>IF(OR(A259="",B259="",C259=""),"",B259*C259)</f>
        <v/>
      </c>
      <c r="E259" s="3">
        <f>IF(D259="","",D259*15%)</f>
        <v/>
      </c>
      <c r="F259" s="2">
        <f>IF(A259="","",IF(C259="","راجع الصنف",""))</f>
        <v/>
      </c>
    </row>
    <row r="260">
      <c r="A260" s="2" t="n"/>
      <c r="B260" s="2" t="n"/>
      <c r="C260" s="3">
        <f>IF(A260="","",IFERROR(VLOOKUP(A260,'الأصناف'!$A$2:$B$100,2,FALSE),""))</f>
        <v/>
      </c>
      <c r="D260" s="3">
        <f>IF(OR(A260="",B260="",C260=""),"",B260*C260)</f>
        <v/>
      </c>
      <c r="E260" s="3">
        <f>IF(D260="","",D260*15%)</f>
        <v/>
      </c>
      <c r="F260" s="2">
        <f>IF(A260="","",IF(C260="","راجع الصنف",""))</f>
        <v/>
      </c>
    </row>
    <row r="261">
      <c r="A261" s="2" t="n"/>
      <c r="B261" s="2" t="n"/>
      <c r="C261" s="3">
        <f>IF(A261="","",IFERROR(VLOOKUP(A261,'الأصناف'!$A$2:$B$100,2,FALSE),""))</f>
        <v/>
      </c>
      <c r="D261" s="3">
        <f>IF(OR(A261="",B261="",C261=""),"",B261*C261)</f>
        <v/>
      </c>
      <c r="E261" s="3">
        <f>IF(D261="","",D261*15%)</f>
        <v/>
      </c>
      <c r="F261" s="2">
        <f>IF(A261="","",IF(C261="","راجع الصنف",""))</f>
        <v/>
      </c>
    </row>
    <row r="262">
      <c r="A262" s="2" t="n"/>
      <c r="B262" s="2" t="n"/>
      <c r="C262" s="3">
        <f>IF(A262="","",IFERROR(VLOOKUP(A262,'الأصناف'!$A$2:$B$100,2,FALSE),""))</f>
        <v/>
      </c>
      <c r="D262" s="3">
        <f>IF(OR(A262="",B262="",C262=""),"",B262*C262)</f>
        <v/>
      </c>
      <c r="E262" s="3">
        <f>IF(D262="","",D262*15%)</f>
        <v/>
      </c>
      <c r="F262" s="2">
        <f>IF(A262="","",IF(C262="","راجع الصنف",""))</f>
        <v/>
      </c>
    </row>
    <row r="263">
      <c r="A263" s="2" t="n"/>
      <c r="B263" s="2" t="n"/>
      <c r="C263" s="3">
        <f>IF(A263="","",IFERROR(VLOOKUP(A263,'الأصناف'!$A$2:$B$100,2,FALSE),""))</f>
        <v/>
      </c>
      <c r="D263" s="3">
        <f>IF(OR(A263="",B263="",C263=""),"",B263*C263)</f>
        <v/>
      </c>
      <c r="E263" s="3">
        <f>IF(D263="","",D263*15%)</f>
        <v/>
      </c>
      <c r="F263" s="2">
        <f>IF(A263="","",IF(C263="","راجع الصنف",""))</f>
        <v/>
      </c>
    </row>
    <row r="264">
      <c r="A264" s="2" t="n"/>
      <c r="B264" s="2" t="n"/>
      <c r="C264" s="3">
        <f>IF(A264="","",IFERROR(VLOOKUP(A264,'الأصناف'!$A$2:$B$100,2,FALSE),""))</f>
        <v/>
      </c>
      <c r="D264" s="3">
        <f>IF(OR(A264="",B264="",C264=""),"",B264*C264)</f>
        <v/>
      </c>
      <c r="E264" s="3">
        <f>IF(D264="","",D264*15%)</f>
        <v/>
      </c>
      <c r="F264" s="2">
        <f>IF(A264="","",IF(C264="","راجع الصنف",""))</f>
        <v/>
      </c>
    </row>
    <row r="265">
      <c r="A265" s="2" t="n"/>
      <c r="B265" s="2" t="n"/>
      <c r="C265" s="3">
        <f>IF(A265="","",IFERROR(VLOOKUP(A265,'الأصناف'!$A$2:$B$100,2,FALSE),""))</f>
        <v/>
      </c>
      <c r="D265" s="3">
        <f>IF(OR(A265="",B265="",C265=""),"",B265*C265)</f>
        <v/>
      </c>
      <c r="E265" s="3">
        <f>IF(D265="","",D265*15%)</f>
        <v/>
      </c>
      <c r="F265" s="2">
        <f>IF(A265="","",IF(C265="","راجع الصنف",""))</f>
        <v/>
      </c>
    </row>
    <row r="266">
      <c r="A266" s="2" t="n"/>
      <c r="B266" s="2" t="n"/>
      <c r="C266" s="3">
        <f>IF(A266="","",IFERROR(VLOOKUP(A266,'الأصناف'!$A$2:$B$100,2,FALSE),""))</f>
        <v/>
      </c>
      <c r="D266" s="3">
        <f>IF(OR(A266="",B266="",C266=""),"",B266*C266)</f>
        <v/>
      </c>
      <c r="E266" s="3">
        <f>IF(D266="","",D266*15%)</f>
        <v/>
      </c>
      <c r="F266" s="2">
        <f>IF(A266="","",IF(C266="","راجع الصنف",""))</f>
        <v/>
      </c>
    </row>
    <row r="267">
      <c r="A267" s="2" t="n"/>
      <c r="B267" s="2" t="n"/>
      <c r="C267" s="3">
        <f>IF(A267="","",IFERROR(VLOOKUP(A267,'الأصناف'!$A$2:$B$100,2,FALSE),""))</f>
        <v/>
      </c>
      <c r="D267" s="3">
        <f>IF(OR(A267="",B267="",C267=""),"",B267*C267)</f>
        <v/>
      </c>
      <c r="E267" s="3">
        <f>IF(D267="","",D267*15%)</f>
        <v/>
      </c>
      <c r="F267" s="2">
        <f>IF(A267="","",IF(C267="","راجع الصنف",""))</f>
        <v/>
      </c>
    </row>
    <row r="268">
      <c r="A268" s="2" t="n"/>
      <c r="B268" s="2" t="n"/>
      <c r="C268" s="3">
        <f>IF(A268="","",IFERROR(VLOOKUP(A268,'الأصناف'!$A$2:$B$100,2,FALSE),""))</f>
        <v/>
      </c>
      <c r="D268" s="3">
        <f>IF(OR(A268="",B268="",C268=""),"",B268*C268)</f>
        <v/>
      </c>
      <c r="E268" s="3">
        <f>IF(D268="","",D268*15%)</f>
        <v/>
      </c>
      <c r="F268" s="2">
        <f>IF(A268="","",IF(C268="","راجع الصنف",""))</f>
        <v/>
      </c>
    </row>
    <row r="269">
      <c r="A269" s="2" t="n"/>
      <c r="B269" s="2" t="n"/>
      <c r="C269" s="3">
        <f>IF(A269="","",IFERROR(VLOOKUP(A269,'الأصناف'!$A$2:$B$100,2,FALSE),""))</f>
        <v/>
      </c>
      <c r="D269" s="3">
        <f>IF(OR(A269="",B269="",C269=""),"",B269*C269)</f>
        <v/>
      </c>
      <c r="E269" s="3">
        <f>IF(D269="","",D269*15%)</f>
        <v/>
      </c>
      <c r="F269" s="2">
        <f>IF(A269="","",IF(C269="","راجع الصنف",""))</f>
        <v/>
      </c>
    </row>
    <row r="270">
      <c r="A270" s="2" t="n"/>
      <c r="B270" s="2" t="n"/>
      <c r="C270" s="3">
        <f>IF(A270="","",IFERROR(VLOOKUP(A270,'الأصناف'!$A$2:$B$100,2,FALSE),""))</f>
        <v/>
      </c>
      <c r="D270" s="3">
        <f>IF(OR(A270="",B270="",C270=""),"",B270*C270)</f>
        <v/>
      </c>
      <c r="E270" s="3">
        <f>IF(D270="","",D270*15%)</f>
        <v/>
      </c>
      <c r="F270" s="2">
        <f>IF(A270="","",IF(C270="","راجع الصنف",""))</f>
        <v/>
      </c>
    </row>
    <row r="271">
      <c r="A271" s="2" t="n"/>
      <c r="B271" s="2" t="n"/>
      <c r="C271" s="3">
        <f>IF(A271="","",IFERROR(VLOOKUP(A271,'الأصناف'!$A$2:$B$100,2,FALSE),""))</f>
        <v/>
      </c>
      <c r="D271" s="3">
        <f>IF(OR(A271="",B271="",C271=""),"",B271*C271)</f>
        <v/>
      </c>
      <c r="E271" s="3">
        <f>IF(D271="","",D271*15%)</f>
        <v/>
      </c>
      <c r="F271" s="2">
        <f>IF(A271="","",IF(C271="","راجع الصنف",""))</f>
        <v/>
      </c>
    </row>
    <row r="272">
      <c r="A272" s="2" t="n"/>
      <c r="B272" s="2" t="n"/>
      <c r="C272" s="3">
        <f>IF(A272="","",IFERROR(VLOOKUP(A272,'الأصناف'!$A$2:$B$100,2,FALSE),""))</f>
        <v/>
      </c>
      <c r="D272" s="3">
        <f>IF(OR(A272="",B272="",C272=""),"",B272*C272)</f>
        <v/>
      </c>
      <c r="E272" s="3">
        <f>IF(D272="","",D272*15%)</f>
        <v/>
      </c>
      <c r="F272" s="2">
        <f>IF(A272="","",IF(C272="","راجع الصنف",""))</f>
        <v/>
      </c>
    </row>
    <row r="273">
      <c r="A273" s="2" t="n"/>
      <c r="B273" s="2" t="n"/>
      <c r="C273" s="3">
        <f>IF(A273="","",IFERROR(VLOOKUP(A273,'الأصناف'!$A$2:$B$100,2,FALSE),""))</f>
        <v/>
      </c>
      <c r="D273" s="3">
        <f>IF(OR(A273="",B273="",C273=""),"",B273*C273)</f>
        <v/>
      </c>
      <c r="E273" s="3">
        <f>IF(D273="","",D273*15%)</f>
        <v/>
      </c>
      <c r="F273" s="2">
        <f>IF(A273="","",IF(C273="","راجع الصنف",""))</f>
        <v/>
      </c>
    </row>
    <row r="274">
      <c r="A274" s="2" t="n"/>
      <c r="B274" s="2" t="n"/>
      <c r="C274" s="3">
        <f>IF(A274="","",IFERROR(VLOOKUP(A274,'الأصناف'!$A$2:$B$100,2,FALSE),""))</f>
        <v/>
      </c>
      <c r="D274" s="3">
        <f>IF(OR(A274="",B274="",C274=""),"",B274*C274)</f>
        <v/>
      </c>
      <c r="E274" s="3">
        <f>IF(D274="","",D274*15%)</f>
        <v/>
      </c>
      <c r="F274" s="2">
        <f>IF(A274="","",IF(C274="","راجع الصنف",""))</f>
        <v/>
      </c>
    </row>
    <row r="275">
      <c r="A275" s="2" t="n"/>
      <c r="B275" s="2" t="n"/>
      <c r="C275" s="3">
        <f>IF(A275="","",IFERROR(VLOOKUP(A275,'الأصناف'!$A$2:$B$100,2,FALSE),""))</f>
        <v/>
      </c>
      <c r="D275" s="3">
        <f>IF(OR(A275="",B275="",C275=""),"",B275*C275)</f>
        <v/>
      </c>
      <c r="E275" s="3">
        <f>IF(D275="","",D275*15%)</f>
        <v/>
      </c>
      <c r="F275" s="2">
        <f>IF(A275="","",IF(C275="","راجع الصنف",""))</f>
        <v/>
      </c>
    </row>
    <row r="276">
      <c r="A276" s="2" t="n"/>
      <c r="B276" s="2" t="n"/>
      <c r="C276" s="3">
        <f>IF(A276="","",IFERROR(VLOOKUP(A276,'الأصناف'!$A$2:$B$100,2,FALSE),""))</f>
        <v/>
      </c>
      <c r="D276" s="3">
        <f>IF(OR(A276="",B276="",C276=""),"",B276*C276)</f>
        <v/>
      </c>
      <c r="E276" s="3">
        <f>IF(D276="","",D276*15%)</f>
        <v/>
      </c>
      <c r="F276" s="2">
        <f>IF(A276="","",IF(C276="","راجع الصنف",""))</f>
        <v/>
      </c>
    </row>
    <row r="277">
      <c r="A277" s="2" t="n"/>
      <c r="B277" s="2" t="n"/>
      <c r="C277" s="3">
        <f>IF(A277="","",IFERROR(VLOOKUP(A277,'الأصناف'!$A$2:$B$100,2,FALSE),""))</f>
        <v/>
      </c>
      <c r="D277" s="3">
        <f>IF(OR(A277="",B277="",C277=""),"",B277*C277)</f>
        <v/>
      </c>
      <c r="E277" s="3">
        <f>IF(D277="","",D277*15%)</f>
        <v/>
      </c>
      <c r="F277" s="2">
        <f>IF(A277="","",IF(C277="","راجع الصنف",""))</f>
        <v/>
      </c>
    </row>
    <row r="278">
      <c r="A278" s="2" t="n"/>
      <c r="B278" s="2" t="n"/>
      <c r="C278" s="3">
        <f>IF(A278="","",IFERROR(VLOOKUP(A278,'الأصناف'!$A$2:$B$100,2,FALSE),""))</f>
        <v/>
      </c>
      <c r="D278" s="3">
        <f>IF(OR(A278="",B278="",C278=""),"",B278*C278)</f>
        <v/>
      </c>
      <c r="E278" s="3">
        <f>IF(D278="","",D278*15%)</f>
        <v/>
      </c>
      <c r="F278" s="2">
        <f>IF(A278="","",IF(C278="","راجع الصنف",""))</f>
        <v/>
      </c>
    </row>
    <row r="279">
      <c r="A279" s="2" t="n"/>
      <c r="B279" s="2" t="n"/>
      <c r="C279" s="3">
        <f>IF(A279="","",IFERROR(VLOOKUP(A279,'الأصناف'!$A$2:$B$100,2,FALSE),""))</f>
        <v/>
      </c>
      <c r="D279" s="3">
        <f>IF(OR(A279="",B279="",C279=""),"",B279*C279)</f>
        <v/>
      </c>
      <c r="E279" s="3">
        <f>IF(D279="","",D279*15%)</f>
        <v/>
      </c>
      <c r="F279" s="2">
        <f>IF(A279="","",IF(C279="","راجع الصنف",""))</f>
        <v/>
      </c>
    </row>
    <row r="280">
      <c r="A280" s="2" t="n"/>
      <c r="B280" s="2" t="n"/>
      <c r="C280" s="3">
        <f>IF(A280="","",IFERROR(VLOOKUP(A280,'الأصناف'!$A$2:$B$100,2,FALSE),""))</f>
        <v/>
      </c>
      <c r="D280" s="3">
        <f>IF(OR(A280="",B280="",C280=""),"",B280*C280)</f>
        <v/>
      </c>
      <c r="E280" s="3">
        <f>IF(D280="","",D280*15%)</f>
        <v/>
      </c>
      <c r="F280" s="2">
        <f>IF(A280="","",IF(C280="","راجع الصنف",""))</f>
        <v/>
      </c>
    </row>
    <row r="281">
      <c r="A281" s="2" t="n"/>
      <c r="B281" s="2" t="n"/>
      <c r="C281" s="3">
        <f>IF(A281="","",IFERROR(VLOOKUP(A281,'الأصناف'!$A$2:$B$100,2,FALSE),""))</f>
        <v/>
      </c>
      <c r="D281" s="3">
        <f>IF(OR(A281="",B281="",C281=""),"",B281*C281)</f>
        <v/>
      </c>
      <c r="E281" s="3">
        <f>IF(D281="","",D281*15%)</f>
        <v/>
      </c>
      <c r="F281" s="2">
        <f>IF(A281="","",IF(C281="","راجع الصنف",""))</f>
        <v/>
      </c>
    </row>
    <row r="282">
      <c r="A282" s="2" t="n"/>
      <c r="B282" s="2" t="n"/>
      <c r="C282" s="3">
        <f>IF(A282="","",IFERROR(VLOOKUP(A282,'الأصناف'!$A$2:$B$100,2,FALSE),""))</f>
        <v/>
      </c>
      <c r="D282" s="3">
        <f>IF(OR(A282="",B282="",C282=""),"",B282*C282)</f>
        <v/>
      </c>
      <c r="E282" s="3">
        <f>IF(D282="","",D282*15%)</f>
        <v/>
      </c>
      <c r="F282" s="2">
        <f>IF(A282="","",IF(C282="","راجع الصنف",""))</f>
        <v/>
      </c>
    </row>
    <row r="283">
      <c r="A283" s="2" t="n"/>
      <c r="B283" s="2" t="n"/>
      <c r="C283" s="3">
        <f>IF(A283="","",IFERROR(VLOOKUP(A283,'الأصناف'!$A$2:$B$100,2,FALSE),""))</f>
        <v/>
      </c>
      <c r="D283" s="3">
        <f>IF(OR(A283="",B283="",C283=""),"",B283*C283)</f>
        <v/>
      </c>
      <c r="E283" s="3">
        <f>IF(D283="","",D283*15%)</f>
        <v/>
      </c>
      <c r="F283" s="2">
        <f>IF(A283="","",IF(C283="","راجع الصنف",""))</f>
        <v/>
      </c>
    </row>
    <row r="284">
      <c r="A284" s="2" t="n"/>
      <c r="B284" s="2" t="n"/>
      <c r="C284" s="3">
        <f>IF(A284="","",IFERROR(VLOOKUP(A284,'الأصناف'!$A$2:$B$100,2,FALSE),""))</f>
        <v/>
      </c>
      <c r="D284" s="3">
        <f>IF(OR(A284="",B284="",C284=""),"",B284*C284)</f>
        <v/>
      </c>
      <c r="E284" s="3">
        <f>IF(D284="","",D284*15%)</f>
        <v/>
      </c>
      <c r="F284" s="2">
        <f>IF(A284="","",IF(C284="","راجع الصنف",""))</f>
        <v/>
      </c>
    </row>
    <row r="285">
      <c r="A285" s="2" t="n"/>
      <c r="B285" s="2" t="n"/>
      <c r="C285" s="3">
        <f>IF(A285="","",IFERROR(VLOOKUP(A285,'الأصناف'!$A$2:$B$100,2,FALSE),""))</f>
        <v/>
      </c>
      <c r="D285" s="3">
        <f>IF(OR(A285="",B285="",C285=""),"",B285*C285)</f>
        <v/>
      </c>
      <c r="E285" s="3">
        <f>IF(D285="","",D285*15%)</f>
        <v/>
      </c>
      <c r="F285" s="2">
        <f>IF(A285="","",IF(C285="","راجع الصنف",""))</f>
        <v/>
      </c>
    </row>
    <row r="286">
      <c r="A286" s="2" t="n"/>
      <c r="B286" s="2" t="n"/>
      <c r="C286" s="3">
        <f>IF(A286="","",IFERROR(VLOOKUP(A286,'الأصناف'!$A$2:$B$100,2,FALSE),""))</f>
        <v/>
      </c>
      <c r="D286" s="3">
        <f>IF(OR(A286="",B286="",C286=""),"",B286*C286)</f>
        <v/>
      </c>
      <c r="E286" s="3">
        <f>IF(D286="","",D286*15%)</f>
        <v/>
      </c>
      <c r="F286" s="2">
        <f>IF(A286="","",IF(C286="","راجع الصنف",""))</f>
        <v/>
      </c>
    </row>
    <row r="287">
      <c r="A287" s="2" t="n"/>
      <c r="B287" s="2" t="n"/>
      <c r="C287" s="3">
        <f>IF(A287="","",IFERROR(VLOOKUP(A287,'الأصناف'!$A$2:$B$100,2,FALSE),""))</f>
        <v/>
      </c>
      <c r="D287" s="3">
        <f>IF(OR(A287="",B287="",C287=""),"",B287*C287)</f>
        <v/>
      </c>
      <c r="E287" s="3">
        <f>IF(D287="","",D287*15%)</f>
        <v/>
      </c>
      <c r="F287" s="2">
        <f>IF(A287="","",IF(C287="","راجع الصنف",""))</f>
        <v/>
      </c>
    </row>
    <row r="288">
      <c r="A288" s="2" t="n"/>
      <c r="B288" s="2" t="n"/>
      <c r="C288" s="3">
        <f>IF(A288="","",IFERROR(VLOOKUP(A288,'الأصناف'!$A$2:$B$100,2,FALSE),""))</f>
        <v/>
      </c>
      <c r="D288" s="3">
        <f>IF(OR(A288="",B288="",C288=""),"",B288*C288)</f>
        <v/>
      </c>
      <c r="E288" s="3">
        <f>IF(D288="","",D288*15%)</f>
        <v/>
      </c>
      <c r="F288" s="2">
        <f>IF(A288="","",IF(C288="","راجع الصنف",""))</f>
        <v/>
      </c>
    </row>
    <row r="289">
      <c r="A289" s="2" t="n"/>
      <c r="B289" s="2" t="n"/>
      <c r="C289" s="3">
        <f>IF(A289="","",IFERROR(VLOOKUP(A289,'الأصناف'!$A$2:$B$100,2,FALSE),""))</f>
        <v/>
      </c>
      <c r="D289" s="3">
        <f>IF(OR(A289="",B289="",C289=""),"",B289*C289)</f>
        <v/>
      </c>
      <c r="E289" s="3">
        <f>IF(D289="","",D289*15%)</f>
        <v/>
      </c>
      <c r="F289" s="2">
        <f>IF(A289="","",IF(C289="","راجع الصنف",""))</f>
        <v/>
      </c>
    </row>
    <row r="290">
      <c r="A290" s="2" t="n"/>
      <c r="B290" s="2" t="n"/>
      <c r="C290" s="3">
        <f>IF(A290="","",IFERROR(VLOOKUP(A290,'الأصناف'!$A$2:$B$100,2,FALSE),""))</f>
        <v/>
      </c>
      <c r="D290" s="3">
        <f>IF(OR(A290="",B290="",C290=""),"",B290*C290)</f>
        <v/>
      </c>
      <c r="E290" s="3">
        <f>IF(D290="","",D290*15%)</f>
        <v/>
      </c>
      <c r="F290" s="2">
        <f>IF(A290="","",IF(C290="","راجع الصنف",""))</f>
        <v/>
      </c>
    </row>
    <row r="291">
      <c r="A291" s="2" t="n"/>
      <c r="B291" s="2" t="n"/>
      <c r="C291" s="3">
        <f>IF(A291="","",IFERROR(VLOOKUP(A291,'الأصناف'!$A$2:$B$100,2,FALSE),""))</f>
        <v/>
      </c>
      <c r="D291" s="3">
        <f>IF(OR(A291="",B291="",C291=""),"",B291*C291)</f>
        <v/>
      </c>
      <c r="E291" s="3">
        <f>IF(D291="","",D291*15%)</f>
        <v/>
      </c>
      <c r="F291" s="2">
        <f>IF(A291="","",IF(C291="","راجع الصنف",""))</f>
        <v/>
      </c>
    </row>
    <row r="292">
      <c r="A292" s="2" t="n"/>
      <c r="B292" s="2" t="n"/>
      <c r="C292" s="3">
        <f>IF(A292="","",IFERROR(VLOOKUP(A292,'الأصناف'!$A$2:$B$100,2,FALSE),""))</f>
        <v/>
      </c>
      <c r="D292" s="3">
        <f>IF(OR(A292="",B292="",C292=""),"",B292*C292)</f>
        <v/>
      </c>
      <c r="E292" s="3">
        <f>IF(D292="","",D292*15%)</f>
        <v/>
      </c>
      <c r="F292" s="2">
        <f>IF(A292="","",IF(C292="","راجع الصنف",""))</f>
        <v/>
      </c>
    </row>
    <row r="293">
      <c r="A293" s="2" t="n"/>
      <c r="B293" s="2" t="n"/>
      <c r="C293" s="3">
        <f>IF(A293="","",IFERROR(VLOOKUP(A293,'الأصناف'!$A$2:$B$100,2,FALSE),""))</f>
        <v/>
      </c>
      <c r="D293" s="3">
        <f>IF(OR(A293="",B293="",C293=""),"",B293*C293)</f>
        <v/>
      </c>
      <c r="E293" s="3">
        <f>IF(D293="","",D293*15%)</f>
        <v/>
      </c>
      <c r="F293" s="2">
        <f>IF(A293="","",IF(C293="","راجع الصنف",""))</f>
        <v/>
      </c>
    </row>
    <row r="294">
      <c r="A294" s="2" t="n"/>
      <c r="B294" s="2" t="n"/>
      <c r="C294" s="3">
        <f>IF(A294="","",IFERROR(VLOOKUP(A294,'الأصناف'!$A$2:$B$100,2,FALSE),""))</f>
        <v/>
      </c>
      <c r="D294" s="3">
        <f>IF(OR(A294="",B294="",C294=""),"",B294*C294)</f>
        <v/>
      </c>
      <c r="E294" s="3">
        <f>IF(D294="","",D294*15%)</f>
        <v/>
      </c>
      <c r="F294" s="2">
        <f>IF(A294="","",IF(C294="","راجع الصنف",""))</f>
        <v/>
      </c>
    </row>
    <row r="295">
      <c r="A295" s="2" t="n"/>
      <c r="B295" s="2" t="n"/>
      <c r="C295" s="3">
        <f>IF(A295="","",IFERROR(VLOOKUP(A295,'الأصناف'!$A$2:$B$100,2,FALSE),""))</f>
        <v/>
      </c>
      <c r="D295" s="3">
        <f>IF(OR(A295="",B295="",C295=""),"",B295*C295)</f>
        <v/>
      </c>
      <c r="E295" s="3">
        <f>IF(D295="","",D295*15%)</f>
        <v/>
      </c>
      <c r="F295" s="2">
        <f>IF(A295="","",IF(C295="","راجع الصنف",""))</f>
        <v/>
      </c>
    </row>
    <row r="296">
      <c r="A296" s="2" t="n"/>
      <c r="B296" s="2" t="n"/>
      <c r="C296" s="3">
        <f>IF(A296="","",IFERROR(VLOOKUP(A296,'الأصناف'!$A$2:$B$100,2,FALSE),""))</f>
        <v/>
      </c>
      <c r="D296" s="3">
        <f>IF(OR(A296="",B296="",C296=""),"",B296*C296)</f>
        <v/>
      </c>
      <c r="E296" s="3">
        <f>IF(D296="","",D296*15%)</f>
        <v/>
      </c>
      <c r="F296" s="2">
        <f>IF(A296="","",IF(C296="","راجع الصنف",""))</f>
        <v/>
      </c>
    </row>
    <row r="297">
      <c r="A297" s="2" t="n"/>
      <c r="B297" s="2" t="n"/>
      <c r="C297" s="3">
        <f>IF(A297="","",IFERROR(VLOOKUP(A297,'الأصناف'!$A$2:$B$100,2,FALSE),""))</f>
        <v/>
      </c>
      <c r="D297" s="3">
        <f>IF(OR(A297="",B297="",C297=""),"",B297*C297)</f>
        <v/>
      </c>
      <c r="E297" s="3">
        <f>IF(D297="","",D297*15%)</f>
        <v/>
      </c>
      <c r="F297" s="2">
        <f>IF(A297="","",IF(C297="","راجع الصنف",""))</f>
        <v/>
      </c>
    </row>
    <row r="298">
      <c r="A298" s="2" t="n"/>
      <c r="B298" s="2" t="n"/>
      <c r="C298" s="3">
        <f>IF(A298="","",IFERROR(VLOOKUP(A298,'الأصناف'!$A$2:$B$100,2,FALSE),""))</f>
        <v/>
      </c>
      <c r="D298" s="3">
        <f>IF(OR(A298="",B298="",C298=""),"",B298*C298)</f>
        <v/>
      </c>
      <c r="E298" s="3">
        <f>IF(D298="","",D298*15%)</f>
        <v/>
      </c>
      <c r="F298" s="2">
        <f>IF(A298="","",IF(C298="","راجع الصنف",""))</f>
        <v/>
      </c>
    </row>
    <row r="299">
      <c r="A299" s="2" t="n"/>
      <c r="B299" s="2" t="n"/>
      <c r="C299" s="3">
        <f>IF(A299="","",IFERROR(VLOOKUP(A299,'الأصناف'!$A$2:$B$100,2,FALSE),""))</f>
        <v/>
      </c>
      <c r="D299" s="3">
        <f>IF(OR(A299="",B299="",C299=""),"",B299*C299)</f>
        <v/>
      </c>
      <c r="E299" s="3">
        <f>IF(D299="","",D299*15%)</f>
        <v/>
      </c>
      <c r="F299" s="2">
        <f>IF(A299="","",IF(C299="","راجع الصنف",""))</f>
        <v/>
      </c>
    </row>
    <row r="300">
      <c r="A300" s="2" t="n"/>
      <c r="B300" s="2" t="n"/>
      <c r="C300" s="3">
        <f>IF(A300="","",IFERROR(VLOOKUP(A300,'الأصناف'!$A$2:$B$100,2,FALSE),""))</f>
        <v/>
      </c>
      <c r="D300" s="3">
        <f>IF(OR(A300="",B300="",C300=""),"",B300*C300)</f>
        <v/>
      </c>
      <c r="E300" s="3">
        <f>IF(D300="","",D300*15%)</f>
        <v/>
      </c>
      <c r="F300" s="2">
        <f>IF(A300="","",IF(C300="","راجع الصنف",""))</f>
        <v/>
      </c>
    </row>
    <row r="301">
      <c r="A301" s="4" t="n"/>
      <c r="B301" s="4" t="n"/>
      <c r="C301" s="4" t="n"/>
      <c r="D301" s="4" t="n"/>
      <c r="E301" s="4" t="n"/>
      <c r="F301" s="4" t="n"/>
    </row>
    <row r="302">
      <c r="A302" s="5" t="n"/>
      <c r="B302" s="5" t="n"/>
      <c r="C302" s="5" t="inlineStr">
        <is>
          <t>الإجمالي</t>
        </is>
      </c>
      <c r="D302" s="5">
        <f>SUM(D2:D300)</f>
        <v/>
      </c>
      <c r="E302" s="5">
        <f>SUM(E2:E300)</f>
        <v/>
      </c>
      <c r="F302" s="5" t="n"/>
    </row>
  </sheetData>
  <conditionalFormatting sqref="F2:F300">
    <cfRule type="expression" priority="1" dxfId="0">
      <formula>F2&lt;&gt;""</formula>
    </cfRule>
  </conditionalFormatting>
  <dataValidations count="2">
    <dataValidation sqref="A2:A300" showDropDown="0" showInputMessage="0" showErrorMessage="0" allowBlank="1" errorTitle="صنف غير معروف" error="اختار صنفاً من قائمة الأصناف" type="list">
      <formula1>=قائمة_الأصناف</formula1>
    </dataValidation>
    <dataValidation sqref="B2:B300" showDropDown="0" showInputMessage="0" showErrorMessage="0" allowBlank="1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الصنف</t>
        </is>
      </c>
      <c r="B1" s="1" t="inlineStr">
        <is>
          <t>سعر الوحدة</t>
        </is>
      </c>
    </row>
    <row r="2">
      <c r="A2" s="2" t="inlineStr">
        <is>
          <t>كرتونة مياه</t>
        </is>
      </c>
      <c r="B2" s="3" t="n">
        <v>75</v>
      </c>
    </row>
    <row r="3">
      <c r="A3" s="2" t="inlineStr">
        <is>
          <t>ورق تصوير A4</t>
        </is>
      </c>
      <c r="B3" s="3" t="n">
        <v>165</v>
      </c>
    </row>
    <row r="4">
      <c r="A4" s="2" t="inlineStr">
        <is>
          <t>حبر طابعة</t>
        </is>
      </c>
      <c r="B4" s="3" t="n">
        <v>420</v>
      </c>
    </row>
    <row r="5">
      <c r="A5" s="2" t="inlineStr">
        <is>
          <t>دفتر حسابات</t>
        </is>
      </c>
      <c r="B5" s="3" t="n">
        <v>35</v>
      </c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ملخص الفاتورة</t>
        </is>
      </c>
      <c r="B1" s="1" t="inlineStr">
        <is>
          <t>القيمة</t>
        </is>
      </c>
    </row>
    <row r="2">
      <c r="A2" s="4" t="inlineStr">
        <is>
          <t>عدد الأصناف المدخلة</t>
        </is>
      </c>
      <c r="B2" s="6">
        <f>COUNTIF(الفاتورة!A2:A300,"&lt;&gt;")</f>
        <v/>
      </c>
    </row>
    <row r="3">
      <c r="A3" s="4" t="inlineStr">
        <is>
          <t>الإجمالي قبل الضريبة</t>
        </is>
      </c>
      <c r="B3" s="6">
        <f>SUM(الفاتورة!D2:D300)</f>
        <v/>
      </c>
    </row>
    <row r="4">
      <c r="A4" s="4" t="inlineStr">
        <is>
          <t>الضريبة 15%</t>
        </is>
      </c>
      <c r="B4" s="6">
        <f>SUM(الفاتورة!E2:E300)</f>
        <v/>
      </c>
    </row>
    <row r="5">
      <c r="A5" s="4" t="inlineStr">
        <is>
          <t>الإجمالي شامل الضريبة</t>
        </is>
      </c>
      <c r="B5" s="6">
        <f>B3+B4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طريقة الاستخدام</t>
        </is>
      </c>
    </row>
    <row r="2">
      <c r="A2" s="4" t="inlineStr">
        <is>
          <t>1. أضف أسماء الأصناف وأسعارها في ورقة الأصناف.</t>
        </is>
      </c>
    </row>
    <row r="3">
      <c r="A3" s="4" t="inlineStr">
        <is>
          <t>2. اختر الصنف من القائمة المنسدلة في ورقة الفاتورة.</t>
        </is>
      </c>
    </row>
    <row r="4">
      <c r="A4" s="4" t="inlineStr">
        <is>
          <t>3. اكتب الكمية، وسيظهر السعر والإجمالي والضريبة تلقائياً.</t>
        </is>
      </c>
    </row>
    <row r="5">
      <c r="A5" s="4" t="inlineStr">
        <is>
          <t>4. راجع تنبيه الصنف إن ظهر، ثم استخدم الملخص لمعرفة الإجماليات.</t>
        </is>
      </c>
    </row>
    <row r="6">
      <c r="A6" s="4" t="inlineStr">
        <is>
          <t>من مكتبك الذكي Smart Office — تابع الصفحة عشان يوصلك ملف جديد مجاني كل يوم.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2026-10-31T05:10:40Z</dcterms:created>
  <dcterms:modified xsi:type="dcterms:W3CDTF">2026-10-31T05:10:40Z</dcterms:modified>
</cp:coreProperties>
</file>